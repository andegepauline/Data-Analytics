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pauli\OneDrive\Desktop\Data Analytics\Retail Sales Data Cleaning in Excel\"/>
    </mc:Choice>
  </mc:AlternateContent>
  <bookViews>
    <workbookView xWindow="0" yWindow="0" windowWidth="20490" windowHeight="7530" activeTab="2"/>
  </bookViews>
  <sheets>
    <sheet name="Top_Products" sheetId="3" r:id="rId1"/>
    <sheet name="Sales_by_Region" sheetId="5" r:id="rId2"/>
    <sheet name="Cleaned_Data" sheetId="1" r:id="rId3"/>
    <sheet name="Messy_Data" sheetId="6" r:id="rId4"/>
  </sheets>
  <calcPr calcId="162913"/>
  <pivotCaches>
    <pivotCache cacheId="16" r:id="rId5"/>
  </pivotCaches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Q20" i="1" l="1"/>
</calcChain>
</file>

<file path=xl/sharedStrings.xml><?xml version="1.0" encoding="utf-8"?>
<sst xmlns="http://schemas.openxmlformats.org/spreadsheetml/2006/main" count="100" uniqueCount="40">
  <si>
    <t>Order_ID</t>
  </si>
  <si>
    <t>Order_Date</t>
  </si>
  <si>
    <t>Customer_Name</t>
  </si>
  <si>
    <t>Region</t>
  </si>
  <si>
    <t>Product</t>
  </si>
  <si>
    <t>Quantity</t>
  </si>
  <si>
    <t>Unit_Price</t>
  </si>
  <si>
    <t>Alice Johnson</t>
  </si>
  <si>
    <t>North</t>
  </si>
  <si>
    <t>Laptop</t>
  </si>
  <si>
    <t>Mouse</t>
  </si>
  <si>
    <t>Keyboard</t>
  </si>
  <si>
    <t xml:space="preserve">West </t>
  </si>
  <si>
    <t>David Lee</t>
  </si>
  <si>
    <t>Monitor</t>
  </si>
  <si>
    <t>Eve Adams</t>
  </si>
  <si>
    <t>Frank Moore</t>
  </si>
  <si>
    <t>South</t>
  </si>
  <si>
    <t>total_sales</t>
  </si>
  <si>
    <t>East</t>
  </si>
  <si>
    <t>West</t>
  </si>
  <si>
    <t xml:space="preserve">Bob Smith </t>
  </si>
  <si>
    <t>Charlie Brown</t>
  </si>
  <si>
    <t xml:space="preserve"> Grace Kim</t>
  </si>
  <si>
    <t>Row Labels</t>
  </si>
  <si>
    <t>Grand Total</t>
  </si>
  <si>
    <t>SUM OF SALES REGIONALLY</t>
  </si>
  <si>
    <t>T3_products</t>
  </si>
  <si>
    <t>TOP 3 PRODUCTS</t>
  </si>
  <si>
    <t>Sum of total_sales</t>
  </si>
  <si>
    <t xml:space="preserve">bob smith </t>
  </si>
  <si>
    <t>south</t>
  </si>
  <si>
    <t>CHARLIE BROWN</t>
  </si>
  <si>
    <t>EAST</t>
  </si>
  <si>
    <t>April 8 2024</t>
  </si>
  <si>
    <t>east</t>
  </si>
  <si>
    <t>15-07-2024</t>
  </si>
  <si>
    <t>WEST</t>
  </si>
  <si>
    <t xml:space="preserve"> grace kim</t>
  </si>
  <si>
    <t>Henry Ford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</si>
</sst>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;@"/>
    <numFmt numFmtId="165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/>
    <xf numFmtId="0" fontId="0" fillId="33" borderId="0" xfId="0" applyFill="1" applyAlignment="1">
      <alignment horizontal="left"/>
    </xf>
    <xf numFmtId="0" fontId="0" fillId="0" borderId="0" xfId="0" applyAlignment="1">
      <alignment wrapText="1"/>
    </xf>
    <xf numFmtId="165" fontId="0" fillId="0" borderId="0" xfId="0" applyNumberFormat="1"/>
    <xf numFmtId="165" fontId="0" fillId="33" borderId="0" xfId="0" applyNumberFormat="1" applyFill="1"/>
    <xf numFmtId="0" fontId="0" fillId="34" borderId="0" xfId="0" applyFill="1"/>
    <xf numFmtId="0" fontId="0" fillId="34" borderId="0" xfId="0" applyFill="1" applyAlignment="1">
      <alignment horizontal="left"/>
    </xf>
    <xf numFmtId="165" fontId="0" fillId="34" borderId="0" xfId="0" applyNumberFormat="1" applyFill="1"/>
    <xf numFmtId="14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1">
    <dxf>
      <numFmt numFmtId="165" formatCode="&quot;$&quot;#,##0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numFmt numFmtId="165" formatCode="&quot;$&quot;#,##0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numFmt numFmtId="165" formatCode="&quot;$&quot;#,##0"/>
    </dxf>
    <dxf>
      <numFmt numFmtId="165" formatCode="&quot;$&quot;#,##0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numFmt numFmtId="165" formatCode="&quot;$&quot;#,##0"/>
    </dxf>
    <dxf>
      <numFmt numFmtId="165" formatCode="&quot;$&quot;#,##0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numFmt numFmtId="165" formatCode="&quot;$&quot;#,##0"/>
    </dxf>
    <dxf>
      <numFmt numFmtId="165" formatCode="&quot;$&quot;#,##0"/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numFmt numFmtId="165" formatCode="&quot;$&quot;#,##0"/>
    </dxf>
    <dxf>
      <numFmt numFmtId="165" formatCode="&quot;$&quot;#,##0"/>
    </dxf>
    <dxf>
      <numFmt numFmtId="165" formatCode="&quot;$&quot;#,##0"/>
    </dxf>
    <dxf>
      <numFmt numFmtId="164" formatCode="m/d/yy;@"/>
    </dxf>
    <dxf>
      <numFmt numFmtId="165" formatCode="&quot;$&quot;#,##0"/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5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[clean_retail_sales.xlsx]Cleaned_Data!PivotTable4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3 products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>
            <a:solidFill>
              <a:schemeClr val="accent4">
                <a:lumMod val="40000"/>
                <a:lumOff val="60000"/>
              </a:schemeClr>
            </a:solidFill>
          </a:ln>
          <a:effectLst>
            <a:outerShdw blurRad="50800" dist="1638300" dir="5400000" algn="ctr" rotWithShape="0">
              <a:srgbClr val="000000">
                <a:alpha val="43137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Cleaned_Data!$C$13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>
              <a:outerShdw blurRad="50800" dist="1638300" dir="5400000" algn="ctr" rotWithShape="0">
                <a:srgbClr val="000000">
                  <a:alpha val="43137"/>
                </a:srgbClr>
              </a:outerShdw>
            </a:effectLst>
          </c:spPr>
          <c:invertIfNegative val="0"/>
          <c:cat>
            <c:strRef>
              <c:f>Cleaned_Data!$B$14:$B$18</c:f>
              <c:strCache>
                <c:ptCount val="4"/>
                <c:pt idx="0">
                  <c:v>Keyboard</c:v>
                </c:pt>
                <c:pt idx="1">
                  <c:v>Laptop</c:v>
                </c:pt>
                <c:pt idx="2">
                  <c:v>Monitor</c:v>
                </c:pt>
                <c:pt idx="3">
                  <c:v>Mouse</c:v>
                </c:pt>
              </c:strCache>
            </c:strRef>
          </c:cat>
          <c:val>
            <c:numRef>
              <c:f>Cleaned_Data!$C$14:$C$18</c:f>
              <c:numCache>
                <c:formatCode>"$"#,##0</c:formatCode>
                <c:ptCount val="4"/>
                <c:pt idx="0">
                  <c:v>90</c:v>
                </c:pt>
                <c:pt idx="1">
                  <c:v>3600</c:v>
                </c:pt>
                <c:pt idx="2">
                  <c:v>600</c:v>
                </c:pt>
                <c:pt idx="3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EE-46F5-8C3D-A6953DCD1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6554176"/>
        <c:axId val="1996555008"/>
      </c:barChart>
      <c:catAx>
        <c:axId val="199655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555008"/>
        <c:crosses val="autoZero"/>
        <c:auto val="1"/>
        <c:lblAlgn val="ctr"/>
        <c:lblOffset val="100"/>
        <c:noMultiLvlLbl val="0"/>
      </c:catAx>
      <c:valAx>
        <c:axId val="1996555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55417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[clean_retail_sales.xlsx]Cleaned_Data!PivotTable3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20000"/>
              <a:lumOff val="80000"/>
            </a:schemeClr>
          </a:solidFill>
          <a:ln>
            <a:solidFill>
              <a:srgbClr val="92D050"/>
            </a:solidFill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Cleaned_Data!$K$2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solidFill>
                <a:srgbClr val="92D050"/>
              </a:solidFill>
            </a:ln>
            <a:effectLst/>
          </c:spPr>
          <c:invertIfNegative val="0"/>
          <c:cat>
            <c:strRef>
              <c:f>Cleaned_Data!$J$3:$J$7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Cleaned_Data!$K$3:$K$7</c:f>
              <c:numCache>
                <c:formatCode>"$"#,##0</c:formatCode>
                <c:ptCount val="4"/>
                <c:pt idx="0">
                  <c:v>120</c:v>
                </c:pt>
                <c:pt idx="1">
                  <c:v>1800</c:v>
                </c:pt>
                <c:pt idx="2">
                  <c:v>1250</c:v>
                </c:pt>
                <c:pt idx="3">
                  <c:v>1245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9F-4B28-9FA0-B30416295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6133455"/>
        <c:axId val="336131791"/>
      </c:barChart>
      <c:catAx>
        <c:axId val="33613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131791"/>
        <c:crosses val="autoZero"/>
        <c:auto val="1"/>
        <c:lblAlgn val="ctr"/>
        <c:lblOffset val="100"/>
        <c:noMultiLvlLbl val="0"/>
      </c:catAx>
      <c:valAx>
        <c:axId val="336131791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13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447675</xdr:colOff>
      <xdr:row>10</xdr:row>
      <xdr:rowOff>76200</xdr:rowOff>
    </xdr:from>
    <xdr:to>
      <xdr:col>7</xdr:col>
      <xdr:colOff>219076</xdr:colOff>
      <xdr:row>20</xdr:row>
      <xdr:rowOff>104776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11</xdr:col>
      <xdr:colOff>104774</xdr:colOff>
      <xdr:row>1</xdr:row>
      <xdr:rowOff>0</xdr:rowOff>
    </xdr:from>
    <xdr:ext cx="2238376" cy="1219200"/>
    <xdr:sp macro="" textlink="">
      <xdr:nvSpPr>
        <xdr:cNvPr id="6" name="TextBox 5"/>
        <xdr:cNvSpPr txBox="1"/>
      </xdr:nvSpPr>
      <xdr:spPr>
        <a:xfrm>
          <a:off x="9153524" y="190500"/>
          <a:ext cx="2238376" cy="12192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/>
            <a:t>-</a:t>
          </a:r>
          <a:r>
            <a:rPr lang="en-US" sz="1200" baseline="0"/>
            <a:t> </a:t>
          </a:r>
          <a:r>
            <a:rPr lang="en-US" sz="1200"/>
            <a:t>North region had the highest sales.</a:t>
          </a:r>
        </a:p>
        <a:p>
          <a:r>
            <a:rPr lang="en-US" sz="1200"/>
            <a:t>- Laptop is the top-selling product.</a:t>
          </a:r>
        </a:p>
        <a:p>
          <a:r>
            <a:rPr lang="en-US" sz="1200"/>
            <a:t>- Total revenue for this period is $4,415.</a:t>
          </a:r>
        </a:p>
        <a:p>
          <a:endParaRPr lang="en-US" sz="1100"/>
        </a:p>
      </xdr:txBody>
    </xdr:sp>
    <xdr:clientData/>
  </xdr:oneCellAnchor>
  <xdr:twoCellAnchor>
    <xdr:from>
      <xdr:col>8</xdr:col>
      <xdr:colOff>552450</xdr:colOff>
      <xdr:row>8</xdr:row>
      <xdr:rowOff>152400</xdr:rowOff>
    </xdr:from>
    <xdr:to>
      <xdr:col>13</xdr:col>
      <xdr:colOff>542925</xdr:colOff>
      <xdr:row>19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auline omondi" refreshedDate="46077.419051273151" createdVersion="6" refreshedVersion="6" minRefreshableVersion="3" recordCount="8">
  <cacheSource type="worksheet">
    <worksheetSource name="Table1"/>
  </cacheSource>
  <cacheFields count="8">
    <cacheField name="Order_ID" numFmtId="0">
      <sharedItems containsSemiMixedTypes="0" containsString="0" containsNumber="1" containsInteger="1" minValue="1001" maxValue="1008"/>
    </cacheField>
    <cacheField name="Order_Date" numFmtId="164">
      <sharedItems containsSemiMixedTypes="0" containsNonDate="0" containsDate="1" containsString="0" minDate="2024-01-05T00:00:00" maxDate="2024-08-21T00:00:00"/>
    </cacheField>
    <cacheField name="Customer_Name" numFmtId="0">
      <sharedItems/>
    </cacheField>
    <cacheField name="Region" numFmtId="0">
      <sharedItems count="5">
        <s v="North"/>
        <s v="South"/>
        <s v="East"/>
        <s v="West"/>
        <s v="West " u="1"/>
      </sharedItems>
    </cacheField>
    <cacheField name="Product" numFmtId="0">
      <sharedItems count="4">
        <s v="Laptop"/>
        <s v="Mouse"/>
        <s v="Keyboard"/>
        <s v="Monitor"/>
      </sharedItems>
    </cacheField>
    <cacheField name="Quantity" numFmtId="0">
      <sharedItems containsSemiMixedTypes="0" containsString="0" containsNumber="1" containsInteger="1" minValue="1" maxValue="3"/>
    </cacheField>
    <cacheField name="Unit_Price" numFmtId="165">
      <sharedItems containsSemiMixedTypes="0" containsString="0" containsNumber="1" containsInteger="1" minValue="25" maxValue="1200"/>
    </cacheField>
    <cacheField name="total_sales" numFmtId="165">
      <sharedItems containsSemiMixedTypes="0" containsString="0" containsNumber="1" containsInteger="1" minValue="45" maxValue="1200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n v="1001"/>
    <d v="2024-01-05T00:00:00"/>
    <s v="Alice Johnson"/>
    <x v="0"/>
    <x v="0"/>
    <n v="1"/>
    <n v="1200"/>
    <n v="1200"/>
  </r>
  <r>
    <n v="1002"/>
    <d v="2024-05-02T00:00:00"/>
    <s v="Bob Smith "/>
    <x v="1"/>
    <x v="1"/>
    <n v="2"/>
    <n v="25"/>
    <n v="50"/>
  </r>
  <r>
    <n v="1003"/>
    <d v="2024-03-07T00:00:00"/>
    <s v="Charlie Brown"/>
    <x v="2"/>
    <x v="2"/>
    <n v="1"/>
    <n v="45"/>
    <n v="45"/>
  </r>
  <r>
    <n v="1004"/>
    <d v="2024-04-08T00:00:00"/>
    <s v="Alice Johnson"/>
    <x v="3"/>
    <x v="0"/>
    <n v="1"/>
    <n v="1200"/>
    <n v="1200"/>
  </r>
  <r>
    <n v="1005"/>
    <d v="2024-05-10T00:00:00"/>
    <s v="David Lee"/>
    <x v="0"/>
    <x v="3"/>
    <n v="2"/>
    <n v="300"/>
    <n v="600"/>
  </r>
  <r>
    <n v="1006"/>
    <d v="2024-06-15T00:00:00"/>
    <s v="Eve Adams"/>
    <x v="2"/>
    <x v="1"/>
    <n v="3"/>
    <n v="25"/>
    <n v="75"/>
  </r>
  <r>
    <n v="1007"/>
    <d v="2024-07-15T00:00:00"/>
    <s v="Frank Moore"/>
    <x v="3"/>
    <x v="2"/>
    <n v="1"/>
    <n v="45"/>
    <n v="45"/>
  </r>
  <r>
    <n v="1008"/>
    <d v="2024-08-20T00:00:00"/>
    <s v=" Grace Kim"/>
    <x v="1"/>
    <x v="0"/>
    <n v="1"/>
    <n v="1200"/>
    <n v="1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8">
    <pivotField showAll="0"/>
    <pivotField numFmtId="164" showAll="0"/>
    <pivotField showAll="0"/>
    <pivotField showAll="0"/>
    <pivotField axis="axisRow" showAll="0" measureFilter="1">
      <items count="5">
        <item x="2"/>
        <item x="0"/>
        <item x="3"/>
        <item x="1"/>
        <item t="default"/>
      </items>
    </pivotField>
    <pivotField showAll="0"/>
    <pivotField showAll="0"/>
    <pivotField dataField="1" showAll="0"/>
  </pivotFields>
  <rowFields count="1">
    <field x="4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T3_products" fld="7" baseField="4" baseItem="1"/>
  </dataField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8">
    <pivotField showAll="0"/>
    <pivotField numFmtId="164" showAll="0"/>
    <pivotField showAll="0"/>
    <pivotField axis="axisRow" showAll="0">
      <items count="6">
        <item x="2"/>
        <item x="0"/>
        <item x="1"/>
        <item x="3"/>
        <item m="1" x="4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B13:C18" firstHeaderRow="1" firstDataRow="1" firstDataCol="1"/>
  <pivotFields count="8">
    <pivotField showAll="0"/>
    <pivotField numFmtId="164" showAll="0"/>
    <pivotField showAll="0"/>
    <pivotField showAll="0"/>
    <pivotField axis="axisRow" showAll="0" measureFilter="1">
      <items count="5">
        <item x="2"/>
        <item x="0"/>
        <item x="3"/>
        <item x="1"/>
        <item t="default"/>
      </items>
    </pivotField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3_products" fld="7" baseField="4" baseItem="1" numFmtId="165"/>
  </dataFields>
  <formats count="8"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4" type="button" dataOnly="0" labelOnly="1" outline="0" axis="axisRow" fieldPosition="0"/>
    </format>
    <format dxfId="79">
      <pivotArea dataOnly="0" labelOnly="1" outline="0" axis="axisValues" fieldPosition="0"/>
    </format>
    <format dxfId="78">
      <pivotArea dataOnly="0" labelOnly="1" fieldPosition="0">
        <references count="1">
          <reference field="4" count="3">
            <x v="1"/>
            <x v="2"/>
            <x v="3"/>
          </reference>
        </references>
      </pivotArea>
    </format>
    <format dxfId="77">
      <pivotArea dataOnly="0" labelOnly="1" grandRow="1" outline="0" fieldPosition="0"/>
    </format>
    <format dxfId="76">
      <pivotArea dataOnly="0" labelOnly="1" outline="0" axis="axisValues" fieldPosition="0"/>
    </format>
    <format dxfId="75">
      <pivotArea outline="0" collapsedLevelsAreSubtotals="1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7" iMeasureFld="0">
      <autoFilter ref="A1">
        <filterColumn colId="0">
          <top10 val="9" filterVal="9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J2:K7" firstHeaderRow="1" firstDataRow="1" firstDataCol="1"/>
  <pivotFields count="8">
    <pivotField showAll="0"/>
    <pivotField numFmtId="164" showAll="0"/>
    <pivotField showAll="0"/>
    <pivotField axis="axisRow" showAll="0">
      <items count="6">
        <item x="2"/>
        <item x="0"/>
        <item x="1"/>
        <item x="3"/>
        <item m="1" x="4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7" baseField="0" baseItem="0" numFmtId="165"/>
  </dataFields>
  <formats count="8">
    <format dxfId="90">
      <pivotArea outline="0" collapsedLevelsAreSubtotals="1" fieldPosition="0"/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3" type="button" dataOnly="0" labelOnly="1" outline="0" axis="axisRow" fieldPosition="0"/>
    </format>
    <format dxfId="86">
      <pivotArea dataOnly="0" labelOnly="1" outline="0" axis="axisValues" fieldPosition="0"/>
    </format>
    <format dxfId="85">
      <pivotArea dataOnly="0" labelOnly="1" fieldPosition="0">
        <references count="1">
          <reference field="3" count="0"/>
        </references>
      </pivotArea>
    </format>
    <format dxfId="84">
      <pivotArea dataOnly="0" labelOnly="1" grandRow="1" outline="0" fieldPosition="0"/>
    </format>
    <format dxfId="83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H9" totalsRowShown="0">
  <autoFilter ref="A1:H9"/>
  <tableColumns count="8">
    <tableColumn id="1" name="Order_ID"/>
    <tableColumn id="2" name="Order_Date" dataDxfId="74"/>
    <tableColumn id="4" name="Customer_Name"/>
    <tableColumn id="6" name="Region"/>
    <tableColumn id="8" name="Product"/>
    <tableColumn id="9" name="Quantity"/>
    <tableColumn id="10" name="Unit_Price" dataDxfId="73"/>
    <tableColumn id="12" name="total_sales" dataDxfId="72">
      <calculatedColumnFormula>PRODUCT(Table1[[#This Row],[Quantity]],Table1[[#This Row],[Unit_Price]])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3" sqref="A3:B7"/>
    </sheetView>
  </sheetViews>
  <sheetFormatPr defaultRowHeight="15" x14ac:dyDescent="0.25"/>
  <cols>
    <col min="1" max="1" width="13.140625" bestFit="1" customWidth="1"/>
    <col min="2" max="2" width="11.7109375" bestFit="1" customWidth="1"/>
  </cols>
  <sheetData>
    <row r="3" spans="1:2" x14ac:dyDescent="0.25">
      <c r="A3" s="2" t="s">
        <v>24</v>
      </c>
      <c r="B3" t="s">
        <v>27</v>
      </c>
    </row>
    <row r="4" spans="1:2" x14ac:dyDescent="0.25">
      <c r="A4" s="3" t="s">
        <v>9</v>
      </c>
      <c r="B4" s="4">
        <v>3600</v>
      </c>
    </row>
    <row r="5" spans="1:2" x14ac:dyDescent="0.25">
      <c r="A5" s="3" t="s">
        <v>14</v>
      </c>
      <c r="B5" s="4">
        <v>600</v>
      </c>
    </row>
    <row r="6" spans="1:2" x14ac:dyDescent="0.25">
      <c r="A6" s="3" t="s">
        <v>10</v>
      </c>
      <c r="B6" s="4">
        <v>125</v>
      </c>
    </row>
    <row r="7" spans="1:2" x14ac:dyDescent="0.25">
      <c r="A7" s="3" t="s">
        <v>25</v>
      </c>
      <c r="B7" s="4">
        <v>4325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A3" sqref="A3:B8"/>
    </sheetView>
  </sheetViews>
  <sheetFormatPr defaultRowHeight="15" x14ac:dyDescent="0.25"/>
  <cols>
    <col min="1" max="1" width="13.140625" bestFit="1" customWidth="1"/>
    <col min="2" max="2" width="17.42578125" bestFit="1" customWidth="1"/>
  </cols>
  <sheetData>
    <row r="3" spans="1:2" x14ac:dyDescent="0.25">
      <c r="A3" s="2" t="s">
        <v>24</v>
      </c>
      <c r="B3" t="s">
        <v>29</v>
      </c>
    </row>
    <row r="4" spans="1:2" x14ac:dyDescent="0.25">
      <c r="A4" s="3" t="s">
        <v>19</v>
      </c>
      <c r="B4" s="4">
        <v>120</v>
      </c>
    </row>
    <row r="5" spans="1:2" x14ac:dyDescent="0.25">
      <c r="A5" s="3" t="s">
        <v>8</v>
      </c>
      <c r="B5" s="4">
        <v>1800</v>
      </c>
    </row>
    <row r="6" spans="1:2" x14ac:dyDescent="0.25">
      <c r="A6" s="3" t="s">
        <v>17</v>
      </c>
      <c r="B6" s="4">
        <v>1250</v>
      </c>
    </row>
    <row r="7" spans="1:2" x14ac:dyDescent="0.25">
      <c r="A7" s="3" t="s">
        <v>20</v>
      </c>
      <c r="B7" s="4">
        <v>1245</v>
      </c>
    </row>
    <row r="8" spans="1:2" x14ac:dyDescent="0.25">
      <c r="A8" s="3" t="s">
        <v>25</v>
      </c>
      <c r="B8" s="4">
        <v>4415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workbookViewId="0">
      <selection activeCell="Q22" sqref="Q22"/>
    </sheetView>
  </sheetViews>
  <sheetFormatPr defaultRowHeight="15" x14ac:dyDescent="0.25"/>
  <cols>
    <col min="1" max="1" width="11.140625" customWidth="1"/>
    <col min="2" max="2" width="13.140625" style="1" customWidth="1"/>
    <col min="3" max="4" width="11.7109375" customWidth="1"/>
    <col min="5" max="5" width="10" customWidth="1"/>
    <col min="6" max="6" width="13.140625" customWidth="1"/>
    <col min="7" max="7" width="12.7109375" style="8" customWidth="1"/>
    <col min="8" max="8" width="12.42578125" style="8" customWidth="1"/>
    <col min="10" max="10" width="13.140625" customWidth="1"/>
    <col min="11" max="11" width="17.42578125" bestFit="1" customWidth="1"/>
    <col min="12" max="12" width="11.7109375" customWidth="1"/>
    <col min="13" max="13" width="0.140625" customWidth="1"/>
  </cols>
  <sheetData>
    <row r="1" spans="1:12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8" t="s">
        <v>6</v>
      </c>
      <c r="H1" s="8" t="s">
        <v>18</v>
      </c>
      <c r="J1" s="14" t="s">
        <v>26</v>
      </c>
      <c r="K1" s="14"/>
      <c r="L1" s="14"/>
    </row>
    <row r="2" spans="1:12" x14ac:dyDescent="0.25">
      <c r="A2">
        <v>1001</v>
      </c>
      <c r="B2" s="1">
        <v>45296</v>
      </c>
      <c r="C2" t="s">
        <v>7</v>
      </c>
      <c r="D2" t="s">
        <v>8</v>
      </c>
      <c r="E2" t="s">
        <v>9</v>
      </c>
      <c r="F2">
        <v>1</v>
      </c>
      <c r="G2" s="8">
        <v>1200</v>
      </c>
      <c r="H2" s="8">
        <f>PRODUCT(Table1[[#This Row],[Quantity]],Table1[[#This Row],[Unit_Price]])</f>
        <v>1200</v>
      </c>
      <c r="J2" s="10" t="s">
        <v>24</v>
      </c>
      <c r="K2" s="10" t="s">
        <v>29</v>
      </c>
    </row>
    <row r="3" spans="1:12" x14ac:dyDescent="0.25">
      <c r="A3">
        <v>1002</v>
      </c>
      <c r="B3" s="1">
        <v>45414</v>
      </c>
      <c r="C3" t="s">
        <v>21</v>
      </c>
      <c r="D3" t="s">
        <v>17</v>
      </c>
      <c r="E3" t="s">
        <v>10</v>
      </c>
      <c r="F3">
        <v>2</v>
      </c>
      <c r="G3" s="8">
        <v>25</v>
      </c>
      <c r="H3" s="8">
        <f>PRODUCT(Table1[[#This Row],[Quantity]],Table1[[#This Row],[Unit_Price]])</f>
        <v>50</v>
      </c>
      <c r="J3" s="11" t="s">
        <v>19</v>
      </c>
      <c r="K3" s="12">
        <v>120</v>
      </c>
    </row>
    <row r="4" spans="1:12" x14ac:dyDescent="0.25">
      <c r="A4">
        <v>1003</v>
      </c>
      <c r="B4" s="1">
        <v>45358</v>
      </c>
      <c r="C4" t="s">
        <v>22</v>
      </c>
      <c r="D4" t="s">
        <v>19</v>
      </c>
      <c r="E4" t="s">
        <v>11</v>
      </c>
      <c r="F4">
        <v>1</v>
      </c>
      <c r="G4" s="8">
        <v>45</v>
      </c>
      <c r="H4" s="8">
        <f>PRODUCT(Table1[[#This Row],[Quantity]],Table1[[#This Row],[Unit_Price]])</f>
        <v>45</v>
      </c>
      <c r="J4" s="11" t="s">
        <v>8</v>
      </c>
      <c r="K4" s="12">
        <v>1800</v>
      </c>
    </row>
    <row r="5" spans="1:12" x14ac:dyDescent="0.25">
      <c r="A5">
        <v>1004</v>
      </c>
      <c r="B5" s="1">
        <v>45390</v>
      </c>
      <c r="C5" t="s">
        <v>7</v>
      </c>
      <c r="D5" t="s">
        <v>20</v>
      </c>
      <c r="E5" t="s">
        <v>9</v>
      </c>
      <c r="F5">
        <v>1</v>
      </c>
      <c r="G5" s="8">
        <v>1200</v>
      </c>
      <c r="H5" s="8">
        <f>PRODUCT(Table1[[#This Row],[Quantity]],Table1[[#This Row],[Unit_Price]])</f>
        <v>1200</v>
      </c>
      <c r="J5" s="11" t="s">
        <v>17</v>
      </c>
      <c r="K5" s="12">
        <v>1250</v>
      </c>
    </row>
    <row r="6" spans="1:12" x14ac:dyDescent="0.25">
      <c r="A6">
        <v>1005</v>
      </c>
      <c r="B6" s="1">
        <v>45422</v>
      </c>
      <c r="C6" t="s">
        <v>13</v>
      </c>
      <c r="D6" t="s">
        <v>8</v>
      </c>
      <c r="E6" t="s">
        <v>14</v>
      </c>
      <c r="F6">
        <v>2</v>
      </c>
      <c r="G6" s="8">
        <v>300</v>
      </c>
      <c r="H6" s="8">
        <f>PRODUCT(Table1[[#This Row],[Quantity]],Table1[[#This Row],[Unit_Price]])</f>
        <v>600</v>
      </c>
      <c r="J6" s="11" t="s">
        <v>20</v>
      </c>
      <c r="K6" s="12">
        <v>1245</v>
      </c>
    </row>
    <row r="7" spans="1:12" x14ac:dyDescent="0.25">
      <c r="A7">
        <v>1006</v>
      </c>
      <c r="B7" s="1">
        <v>45458</v>
      </c>
      <c r="C7" t="s">
        <v>15</v>
      </c>
      <c r="D7" t="s">
        <v>19</v>
      </c>
      <c r="E7" t="s">
        <v>10</v>
      </c>
      <c r="F7">
        <v>3</v>
      </c>
      <c r="G7" s="8">
        <v>25</v>
      </c>
      <c r="H7" s="8">
        <f>PRODUCT(Table1[[#This Row],[Quantity]],Table1[[#This Row],[Unit_Price]])</f>
        <v>75</v>
      </c>
      <c r="J7" s="11" t="s">
        <v>25</v>
      </c>
      <c r="K7" s="12">
        <v>4415</v>
      </c>
    </row>
    <row r="8" spans="1:12" x14ac:dyDescent="0.25">
      <c r="A8">
        <v>1007</v>
      </c>
      <c r="B8" s="1">
        <v>45488</v>
      </c>
      <c r="C8" t="s">
        <v>16</v>
      </c>
      <c r="D8" t="s">
        <v>20</v>
      </c>
      <c r="E8" t="s">
        <v>11</v>
      </c>
      <c r="F8">
        <v>1</v>
      </c>
      <c r="G8" s="8">
        <v>45</v>
      </c>
      <c r="H8" s="8">
        <f>PRODUCT(Table1[[#This Row],[Quantity]],Table1[[#This Row],[Unit_Price]])</f>
        <v>45</v>
      </c>
    </row>
    <row r="9" spans="1:12" x14ac:dyDescent="0.25">
      <c r="A9">
        <v>1008</v>
      </c>
      <c r="B9" s="1">
        <v>45524</v>
      </c>
      <c r="C9" t="s">
        <v>23</v>
      </c>
      <c r="D9" t="s">
        <v>17</v>
      </c>
      <c r="E9" t="s">
        <v>9</v>
      </c>
      <c r="F9">
        <v>1</v>
      </c>
      <c r="G9" s="8">
        <v>1200</v>
      </c>
      <c r="H9" s="8">
        <f>PRODUCT(Table1[[#This Row],[Quantity]],Table1[[#This Row],[Unit_Price]])</f>
        <v>1200</v>
      </c>
    </row>
    <row r="11" spans="1:12" x14ac:dyDescent="0.25">
      <c r="B11" s="15"/>
      <c r="C11" s="15"/>
      <c r="D11" s="15"/>
    </row>
    <row r="12" spans="1:12" x14ac:dyDescent="0.25">
      <c r="B12" s="15" t="s">
        <v>28</v>
      </c>
      <c r="C12" s="15"/>
      <c r="D12" s="15"/>
    </row>
    <row r="13" spans="1:12" x14ac:dyDescent="0.25">
      <c r="B13" s="5" t="s">
        <v>24</v>
      </c>
      <c r="C13" s="5" t="s">
        <v>27</v>
      </c>
    </row>
    <row r="14" spans="1:12" x14ac:dyDescent="0.25">
      <c r="B14" s="6" t="s">
        <v>11</v>
      </c>
      <c r="C14" s="9">
        <v>90</v>
      </c>
    </row>
    <row r="15" spans="1:12" x14ac:dyDescent="0.25">
      <c r="B15" s="6" t="s">
        <v>9</v>
      </c>
      <c r="C15" s="9">
        <v>3600</v>
      </c>
    </row>
    <row r="16" spans="1:12" x14ac:dyDescent="0.25">
      <c r="B16" s="6" t="s">
        <v>14</v>
      </c>
      <c r="C16" s="9">
        <v>600</v>
      </c>
    </row>
    <row r="17" spans="2:17" x14ac:dyDescent="0.25">
      <c r="B17" s="6" t="s">
        <v>10</v>
      </c>
      <c r="C17" s="9">
        <v>125</v>
      </c>
    </row>
    <row r="18" spans="2:17" x14ac:dyDescent="0.25">
      <c r="B18" s="6" t="s">
        <v>25</v>
      </c>
      <c r="C18" s="9">
        <v>4415</v>
      </c>
    </row>
    <row r="20" spans="2:17" x14ac:dyDescent="0.25">
      <c r="F20" s="7"/>
      <c r="Q20" t="str">
        <f t="shared" ref="Q20" si="0">TRIM(D10)</f>
        <v/>
      </c>
    </row>
  </sheetData>
  <mergeCells count="3">
    <mergeCell ref="J1:L1"/>
    <mergeCell ref="B11:D11"/>
    <mergeCell ref="B12:D12"/>
  </mergeCells>
  <pageMargins left="0.7" right="0.7" top="0.75" bottom="0.75" header="0.3" footer="0.3"/>
  <pageSetup orientation="portrait" r:id="rId3"/>
  <drawing r:id="rId4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K20" sqref="K2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1001</v>
      </c>
      <c r="B2" s="13">
        <v>45296</v>
      </c>
      <c r="C2" t="s">
        <v>7</v>
      </c>
      <c r="D2" t="s">
        <v>8</v>
      </c>
      <c r="E2" t="s">
        <v>9</v>
      </c>
      <c r="F2">
        <v>1</v>
      </c>
      <c r="G2">
        <v>1200</v>
      </c>
    </row>
    <row r="3" spans="1:7" x14ac:dyDescent="0.25">
      <c r="A3">
        <v>1002</v>
      </c>
      <c r="B3" s="13">
        <v>45414</v>
      </c>
      <c r="C3" t="s">
        <v>30</v>
      </c>
      <c r="D3" t="s">
        <v>31</v>
      </c>
      <c r="E3" t="s">
        <v>10</v>
      </c>
      <c r="F3">
        <v>2</v>
      </c>
      <c r="G3">
        <v>25</v>
      </c>
    </row>
    <row r="4" spans="1:7" x14ac:dyDescent="0.25">
      <c r="A4">
        <v>1003</v>
      </c>
      <c r="B4" s="13">
        <v>45358</v>
      </c>
      <c r="C4" t="s">
        <v>32</v>
      </c>
      <c r="D4" t="s">
        <v>33</v>
      </c>
      <c r="E4" t="s">
        <v>11</v>
      </c>
      <c r="F4">
        <v>1</v>
      </c>
      <c r="G4">
        <v>45</v>
      </c>
    </row>
    <row r="5" spans="1:7" x14ac:dyDescent="0.25">
      <c r="A5">
        <v>1004</v>
      </c>
      <c r="B5" t="s">
        <v>34</v>
      </c>
      <c r="C5" t="s">
        <v>7</v>
      </c>
      <c r="D5" t="s">
        <v>12</v>
      </c>
      <c r="E5" t="s">
        <v>9</v>
      </c>
      <c r="F5">
        <v>1</v>
      </c>
      <c r="G5">
        <v>1200</v>
      </c>
    </row>
    <row r="6" spans="1:7" x14ac:dyDescent="0.25">
      <c r="A6">
        <v>1005</v>
      </c>
      <c r="B6" s="13">
        <v>45422</v>
      </c>
      <c r="C6" t="s">
        <v>13</v>
      </c>
      <c r="D6" t="s">
        <v>8</v>
      </c>
      <c r="E6" t="s">
        <v>14</v>
      </c>
      <c r="F6">
        <v>2</v>
      </c>
      <c r="G6">
        <v>300</v>
      </c>
    </row>
    <row r="7" spans="1:7" x14ac:dyDescent="0.25">
      <c r="A7">
        <v>1005</v>
      </c>
      <c r="B7" s="13">
        <v>45422</v>
      </c>
      <c r="C7" t="s">
        <v>13</v>
      </c>
      <c r="D7" t="s">
        <v>8</v>
      </c>
      <c r="E7" t="s">
        <v>14</v>
      </c>
      <c r="F7">
        <v>2</v>
      </c>
      <c r="G7">
        <v>300</v>
      </c>
    </row>
    <row r="8" spans="1:7" x14ac:dyDescent="0.25">
      <c r="A8">
        <v>1006</v>
      </c>
      <c r="B8" s="13">
        <v>45458</v>
      </c>
      <c r="C8" t="s">
        <v>15</v>
      </c>
      <c r="D8" t="s">
        <v>35</v>
      </c>
      <c r="E8" t="s">
        <v>10</v>
      </c>
      <c r="F8">
        <v>3</v>
      </c>
      <c r="G8">
        <v>25</v>
      </c>
    </row>
    <row r="9" spans="1:7" x14ac:dyDescent="0.25">
      <c r="A9">
        <v>1007</v>
      </c>
      <c r="B9" t="s">
        <v>36</v>
      </c>
      <c r="C9" t="s">
        <v>16</v>
      </c>
      <c r="D9" t="s">
        <v>37</v>
      </c>
      <c r="E9" t="s">
        <v>11</v>
      </c>
      <c r="G9">
        <v>45</v>
      </c>
    </row>
    <row r="10" spans="1:7" x14ac:dyDescent="0.25">
      <c r="A10">
        <v>1008</v>
      </c>
      <c r="B10" s="13">
        <v>45524</v>
      </c>
      <c r="C10" t="s">
        <v>38</v>
      </c>
      <c r="D10" t="s">
        <v>17</v>
      </c>
      <c r="E10" t="s">
        <v>9</v>
      </c>
      <c r="F10">
        <v>1</v>
      </c>
      <c r="G10">
        <v>1200</v>
      </c>
    </row>
    <row r="11" spans="1:7" x14ac:dyDescent="0.25">
      <c r="A11">
        <v>1009</v>
      </c>
      <c r="C11" t="s">
        <v>39</v>
      </c>
      <c r="D11" t="s">
        <v>8</v>
      </c>
      <c r="E11" t="s">
        <v>10</v>
      </c>
      <c r="F11">
        <v>2</v>
      </c>
      <c r="G1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Top_Products</vt:lpstr>
      <vt:lpstr>Sales_by_Region</vt:lpstr>
      <vt:lpstr>Cleaned_Data</vt:lpstr>
      <vt:lpstr>Messy_Data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 omondi</dc:creator>
  <cp:lastModifiedBy>pauline omondi</cp:lastModifiedBy>
  <dcterms:created xsi:type="dcterms:W3CDTF">2026-02-23T10:37:17Z</dcterms:created>
  <dcterms:modified xsi:type="dcterms:W3CDTF">2026-02-24T07:10:16Z</dcterms:modified>
</cp:coreProperties>
</file>