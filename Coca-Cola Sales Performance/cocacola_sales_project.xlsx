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imelines/timeline2.xml" ContentType="application/vnd.ms-excel.timelin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9D26E957C7AF870/Desktop/Data Analytics/Coca-Cola Sales Performance/"/>
    </mc:Choice>
  </mc:AlternateContent>
  <xr:revisionPtr revIDLastSave="26" documentId="13_ncr:1_{3422AC29-A5B8-4C2E-818D-C56FD3766D65}" xr6:coauthVersionLast="36" xr6:coauthVersionMax="36" xr10:uidLastSave="{D8C5B5E0-333A-4EAD-BFBD-D9D28127DB6E}"/>
  <bookViews>
    <workbookView xWindow="0" yWindow="0" windowWidth="20490" windowHeight="7425" activeTab="5" xr2:uid="{00000000-000D-0000-FFFF-FFFF00000000}"/>
  </bookViews>
  <sheets>
    <sheet name="CocaCola_Raw_Sales_Data" sheetId="1" r:id="rId1"/>
    <sheet name="INSTRUCTIONS" sheetId="2" state="hidden" r:id="rId2"/>
    <sheet name="CocaCola_Clean_Sales_Data (2)" sheetId="3" r:id="rId3"/>
    <sheet name="PIVOTTABLE" sheetId="4" r:id="rId4"/>
    <sheet name="DASHBOARD-copy" sheetId="5" state="hidden" r:id="rId5"/>
    <sheet name="DASHBOARD" sheetId="7" r:id="rId6"/>
  </sheets>
  <definedNames>
    <definedName name="cola">PIVOTTABLE!$A$1:$B$14</definedName>
    <definedName name="NativeTimeline_Order_Date">#N/A</definedName>
    <definedName name="pmargin">PIVOTTABLE!$B$3</definedName>
    <definedName name="profit">PIVOTTABLE!$B$5</definedName>
    <definedName name="revenue">PIVOTTABLE!$B$2</definedName>
    <definedName name="units">PIVOTTABLE!$B$4</definedName>
  </definedNames>
  <calcPr calcId="181029"/>
  <pivotCaches>
    <pivotCache cacheId="0" r:id="rId7"/>
  </pivotCaches>
  <fileRecoveryPr repairLoad="1"/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</extLst>
</workbook>
</file>

<file path=xl/sharedStrings.xml><?xml version="1.0" encoding="utf-8"?>
<sst xmlns="http://schemas.openxmlformats.org/spreadsheetml/2006/main" count="2330" uniqueCount="414">
  <si>
    <t>Order_ID</t>
  </si>
  <si>
    <t>Order_Date</t>
  </si>
  <si>
    <t>Region</t>
  </si>
  <si>
    <t>Country</t>
  </si>
  <si>
    <t>City</t>
  </si>
  <si>
    <t>Product_Category</t>
  </si>
  <si>
    <t>Product_Name</t>
  </si>
  <si>
    <t>Sales_Rep</t>
  </si>
  <si>
    <t>Units_Sold</t>
  </si>
  <si>
    <t>Unit_Price</t>
  </si>
  <si>
    <t>Total_Revenue</t>
  </si>
  <si>
    <t>Cost_Per_Unit</t>
  </si>
  <si>
    <t>Total_Cost</t>
  </si>
  <si>
    <t>Profit</t>
  </si>
  <si>
    <t>Profit_Margin</t>
  </si>
  <si>
    <t>Sales_Channel</t>
  </si>
  <si>
    <t>ORD001</t>
  </si>
  <si>
    <t>2025-03-06</t>
  </si>
  <si>
    <t>Europe</t>
  </si>
  <si>
    <t>Germany</t>
  </si>
  <si>
    <t>Berlin</t>
  </si>
  <si>
    <t>Soda</t>
  </si>
  <si>
    <t>Coca-Cola 500ml</t>
  </si>
  <si>
    <t>John Smith</t>
  </si>
  <si>
    <t>33.3%</t>
  </si>
  <si>
    <t>Retail</t>
  </si>
  <si>
    <t>ORD002</t>
  </si>
  <si>
    <t>2025-01-31</t>
  </si>
  <si>
    <t>Africa</t>
  </si>
  <si>
    <t>Nigeria</t>
  </si>
  <si>
    <t>Lagos</t>
  </si>
  <si>
    <t>Juice</t>
  </si>
  <si>
    <t>Minute Maid Apple</t>
  </si>
  <si>
    <t>Anita Njeri</t>
  </si>
  <si>
    <t>56.9%</t>
  </si>
  <si>
    <t>Distributor</t>
  </si>
  <si>
    <t>ORD003</t>
  </si>
  <si>
    <t>2025-02-14</t>
  </si>
  <si>
    <t>Asia</t>
  </si>
  <si>
    <t>UAE</t>
  </si>
  <si>
    <t>Dubai</t>
  </si>
  <si>
    <t>Minute Maid Orange</t>
  </si>
  <si>
    <t>Brian Otieno</t>
  </si>
  <si>
    <t>42.1%</t>
  </si>
  <si>
    <t>ORD004</t>
  </si>
  <si>
    <t>2025-02-19</t>
  </si>
  <si>
    <t>Kenya</t>
  </si>
  <si>
    <t>Nairobi</t>
  </si>
  <si>
    <t>Minute Maid Mango</t>
  </si>
  <si>
    <t>James Mwangi</t>
  </si>
  <si>
    <t>53.4%</t>
  </si>
  <si>
    <t>ORD005</t>
  </si>
  <si>
    <t>2025-01-29</t>
  </si>
  <si>
    <t>India</t>
  </si>
  <si>
    <t>Mumbai</t>
  </si>
  <si>
    <t>40.0%</t>
  </si>
  <si>
    <t>ORD006</t>
  </si>
  <si>
    <t>2025-01-14</t>
  </si>
  <si>
    <t>Coca-Cola 1L</t>
  </si>
  <si>
    <t>38.9%</t>
  </si>
  <si>
    <t>Online</t>
  </si>
  <si>
    <t>ORD007</t>
  </si>
  <si>
    <t>2025-01-22</t>
  </si>
  <si>
    <t>39.1%</t>
  </si>
  <si>
    <t>ORD008</t>
  </si>
  <si>
    <t>2025-01-26</t>
  </si>
  <si>
    <t>Adebayo Olu</t>
  </si>
  <si>
    <t>31.6%</t>
  </si>
  <si>
    <t>ORD009</t>
  </si>
  <si>
    <t>2025-01-27</t>
  </si>
  <si>
    <t>Mombasa</t>
  </si>
  <si>
    <t>Water</t>
  </si>
  <si>
    <t>Dasani 1L</t>
  </si>
  <si>
    <t>Anna Müller</t>
  </si>
  <si>
    <t>45.3%</t>
  </si>
  <si>
    <t>ORD010</t>
  </si>
  <si>
    <t>2025-01-01</t>
  </si>
  <si>
    <t>46.7%</t>
  </si>
  <si>
    <t>ORD011</t>
  </si>
  <si>
    <t>2025-02-24</t>
  </si>
  <si>
    <t>Fatima Noor</t>
  </si>
  <si>
    <t>38.8%</t>
  </si>
  <si>
    <t>ORD012</t>
  </si>
  <si>
    <t>2025-01-12</t>
  </si>
  <si>
    <t>52.1%</t>
  </si>
  <si>
    <t>ORD013</t>
  </si>
  <si>
    <t>2025-03-23</t>
  </si>
  <si>
    <t>UK</t>
  </si>
  <si>
    <t>London</t>
  </si>
  <si>
    <t>38.2%</t>
  </si>
  <si>
    <t>ORD014</t>
  </si>
  <si>
    <t>Fanta Orange</t>
  </si>
  <si>
    <t>42.3%</t>
  </si>
  <si>
    <t>ORD015</t>
  </si>
  <si>
    <t>18/01/2025</t>
  </si>
  <si>
    <t>Dasani 500ml</t>
  </si>
  <si>
    <t>34.5%</t>
  </si>
  <si>
    <t>ORD016</t>
  </si>
  <si>
    <t>2025-03-09</t>
  </si>
  <si>
    <t>44.2%</t>
  </si>
  <si>
    <t>ORD017</t>
  </si>
  <si>
    <t>2025-03-11</t>
  </si>
  <si>
    <t>51.5%</t>
  </si>
  <si>
    <t>ORD018</t>
  </si>
  <si>
    <t>2025-03-08</t>
  </si>
  <si>
    <t>Ravi Kumar</t>
  </si>
  <si>
    <t>43.1%</t>
  </si>
  <si>
    <t xml:space="preserve">Retail </t>
  </si>
  <si>
    <t>ORD019</t>
  </si>
  <si>
    <t>2025-02-06</t>
  </si>
  <si>
    <t>33.1%</t>
  </si>
  <si>
    <t>ORD020</t>
  </si>
  <si>
    <t>2025-01-15</t>
  </si>
  <si>
    <t>32.6%</t>
  </si>
  <si>
    <t>ORD021</t>
  </si>
  <si>
    <t>32.0%</t>
  </si>
  <si>
    <t>ORD022</t>
  </si>
  <si>
    <t>2025-01-23</t>
  </si>
  <si>
    <t>55.4%</t>
  </si>
  <si>
    <t>ORD023</t>
  </si>
  <si>
    <t>2025-01-20</t>
  </si>
  <si>
    <t>36.4%</t>
  </si>
  <si>
    <t>ORD024</t>
  </si>
  <si>
    <t>2025-01-16</t>
  </si>
  <si>
    <t>38.4%</t>
  </si>
  <si>
    <t>ORD025</t>
  </si>
  <si>
    <t>2025-01-13</t>
  </si>
  <si>
    <t>33.9%</t>
  </si>
  <si>
    <t>ORD026</t>
  </si>
  <si>
    <t>2025-01-04</t>
  </si>
  <si>
    <t>51.4%</t>
  </si>
  <si>
    <t>ORD027</t>
  </si>
  <si>
    <t>2025-03-20</t>
  </si>
  <si>
    <t>50.7%</t>
  </si>
  <si>
    <t>ORD028</t>
  </si>
  <si>
    <t>2025-03-05</t>
  </si>
  <si>
    <t>49.2%</t>
  </si>
  <si>
    <t>ORD029</t>
  </si>
  <si>
    <t>2025-02-02</t>
  </si>
  <si>
    <t>58.2%</t>
  </si>
  <si>
    <t>ORD030</t>
  </si>
  <si>
    <t>27/02/2025</t>
  </si>
  <si>
    <t>54.9%</t>
  </si>
  <si>
    <t>ORD031</t>
  </si>
  <si>
    <t>2025-03-21</t>
  </si>
  <si>
    <t>39.2%</t>
  </si>
  <si>
    <t>ORD032</t>
  </si>
  <si>
    <t>48.7%</t>
  </si>
  <si>
    <t>ORD033</t>
  </si>
  <si>
    <t>2025-03-24</t>
  </si>
  <si>
    <t>52.3%</t>
  </si>
  <si>
    <t>ORD034</t>
  </si>
  <si>
    <t>49.3%</t>
  </si>
  <si>
    <t>ORD035</t>
  </si>
  <si>
    <t>43.8%</t>
  </si>
  <si>
    <t>ORD036</t>
  </si>
  <si>
    <t>2025-01-24</t>
  </si>
  <si>
    <t>38.5%</t>
  </si>
  <si>
    <t xml:space="preserve">Distributor </t>
  </si>
  <si>
    <t>ORD037</t>
  </si>
  <si>
    <t>2025-03-04</t>
  </si>
  <si>
    <t>ORD038</t>
  </si>
  <si>
    <t>2025-02-18</t>
  </si>
  <si>
    <t>48.4%</t>
  </si>
  <si>
    <t>ORD039</t>
  </si>
  <si>
    <t>2025-03-14</t>
  </si>
  <si>
    <t>30.8%</t>
  </si>
  <si>
    <t>ORD040</t>
  </si>
  <si>
    <t>2025-01-08</t>
  </si>
  <si>
    <t>ORD041</t>
  </si>
  <si>
    <t>2025-03-18</t>
  </si>
  <si>
    <t>34.3%</t>
  </si>
  <si>
    <t>ORD042</t>
  </si>
  <si>
    <t>2025-02-13</t>
  </si>
  <si>
    <t>46.9%</t>
  </si>
  <si>
    <t>ORD043</t>
  </si>
  <si>
    <t>2025-02-27</t>
  </si>
  <si>
    <t>54.1%</t>
  </si>
  <si>
    <t>ORD044</t>
  </si>
  <si>
    <t>ORD045</t>
  </si>
  <si>
    <t>21/03/2025</t>
  </si>
  <si>
    <t>ORD046</t>
  </si>
  <si>
    <t>2025-01-07</t>
  </si>
  <si>
    <t>ORD047</t>
  </si>
  <si>
    <t>2025-02-12</t>
  </si>
  <si>
    <t>54.5%</t>
  </si>
  <si>
    <t>ORD048</t>
  </si>
  <si>
    <t>2025-03-30</t>
  </si>
  <si>
    <t>ORD049</t>
  </si>
  <si>
    <t>2025-03-15</t>
  </si>
  <si>
    <t>35.3%</t>
  </si>
  <si>
    <t>ORD050</t>
  </si>
  <si>
    <t>46.1%</t>
  </si>
  <si>
    <t>ORD051</t>
  </si>
  <si>
    <t>2025-02-17</t>
  </si>
  <si>
    <t>41.6%</t>
  </si>
  <si>
    <t>ORD052</t>
  </si>
  <si>
    <t>2025-02-16</t>
  </si>
  <si>
    <t>40.1%</t>
  </si>
  <si>
    <t>ORD053</t>
  </si>
  <si>
    <t>2025-02-20</t>
  </si>
  <si>
    <t>47.0%</t>
  </si>
  <si>
    <t>ORD054</t>
  </si>
  <si>
    <t>47.5%</t>
  </si>
  <si>
    <t>ORD055</t>
  </si>
  <si>
    <t>2025-02-07</t>
  </si>
  <si>
    <t>41.2%</t>
  </si>
  <si>
    <t>ORD056</t>
  </si>
  <si>
    <t>58.0%</t>
  </si>
  <si>
    <t>ORD057</t>
  </si>
  <si>
    <t>46.8%</t>
  </si>
  <si>
    <t>ORD058</t>
  </si>
  <si>
    <t>2025-03-02</t>
  </si>
  <si>
    <t>48.1%</t>
  </si>
  <si>
    <t>ORD059</t>
  </si>
  <si>
    <t>37.7%</t>
  </si>
  <si>
    <t>ORD060</t>
  </si>
  <si>
    <t>17/02/2025</t>
  </si>
  <si>
    <t>57.0%</t>
  </si>
  <si>
    <t>ORD061</t>
  </si>
  <si>
    <t>2025-02-22</t>
  </si>
  <si>
    <t>44.8%</t>
  </si>
  <si>
    <t>ORD062</t>
  </si>
  <si>
    <t>48.0%</t>
  </si>
  <si>
    <t>ORD063</t>
  </si>
  <si>
    <t>40.4%</t>
  </si>
  <si>
    <t>ORD064</t>
  </si>
  <si>
    <t>2025-01-10</t>
  </si>
  <si>
    <t>34.1%</t>
  </si>
  <si>
    <t>ORD065</t>
  </si>
  <si>
    <t>2025-02-08</t>
  </si>
  <si>
    <t>39.8%</t>
  </si>
  <si>
    <t>ORD066</t>
  </si>
  <si>
    <t>ORD067</t>
  </si>
  <si>
    <t>58.1%</t>
  </si>
  <si>
    <t>ORD068</t>
  </si>
  <si>
    <t>2025-01-03</t>
  </si>
  <si>
    <t>41.1%</t>
  </si>
  <si>
    <t>ORD069</t>
  </si>
  <si>
    <t>2025-03-01</t>
  </si>
  <si>
    <t>36.9%</t>
  </si>
  <si>
    <t>ORD070</t>
  </si>
  <si>
    <t>ORD071</t>
  </si>
  <si>
    <t>45.6%</t>
  </si>
  <si>
    <t>ORD072</t>
  </si>
  <si>
    <t>ORD073</t>
  </si>
  <si>
    <t>53.7%</t>
  </si>
  <si>
    <t>ORD074</t>
  </si>
  <si>
    <t>49.4%</t>
  </si>
  <si>
    <t>ORD075</t>
  </si>
  <si>
    <t>30/01/2025</t>
  </si>
  <si>
    <t>52.7%</t>
  </si>
  <si>
    <t>ORD076</t>
  </si>
  <si>
    <t>45.2%</t>
  </si>
  <si>
    <t>ORD077</t>
  </si>
  <si>
    <t>2025-01-25</t>
  </si>
  <si>
    <t>49.5%</t>
  </si>
  <si>
    <t>ORD078</t>
  </si>
  <si>
    <t>ORD079</t>
  </si>
  <si>
    <t>2025-03-22</t>
  </si>
  <si>
    <t>58.3%</t>
  </si>
  <si>
    <t>ORD080</t>
  </si>
  <si>
    <t>2025-03-03</t>
  </si>
  <si>
    <t>55.2%</t>
  </si>
  <si>
    <t>ORD081</t>
  </si>
  <si>
    <t>2025-02-05</t>
  </si>
  <si>
    <t>ORD082</t>
  </si>
  <si>
    <t>2025-01-06</t>
  </si>
  <si>
    <t>49.6%</t>
  </si>
  <si>
    <t>ORD083</t>
  </si>
  <si>
    <t>38.1%</t>
  </si>
  <si>
    <t>ORD084</t>
  </si>
  <si>
    <t>50.4%</t>
  </si>
  <si>
    <t>ORD085</t>
  </si>
  <si>
    <t>31.5%</t>
  </si>
  <si>
    <t>ORD086</t>
  </si>
  <si>
    <t>2025-01-30</t>
  </si>
  <si>
    <t>ORD087</t>
  </si>
  <si>
    <t>30.2%</t>
  </si>
  <si>
    <t>ORD088</t>
  </si>
  <si>
    <t>2025-03-26</t>
  </si>
  <si>
    <t>52.2%</t>
  </si>
  <si>
    <t>ORD089</t>
  </si>
  <si>
    <t>53.3%</t>
  </si>
  <si>
    <t>ORD090</t>
  </si>
  <si>
    <t>27/01/2025</t>
  </si>
  <si>
    <t>42.9%</t>
  </si>
  <si>
    <t>ORD091</t>
  </si>
  <si>
    <t>2025-02-26</t>
  </si>
  <si>
    <t>35.8%</t>
  </si>
  <si>
    <t>ORD092</t>
  </si>
  <si>
    <t>59.5%</t>
  </si>
  <si>
    <t>ORD093</t>
  </si>
  <si>
    <t>37.2%</t>
  </si>
  <si>
    <t>ORD094</t>
  </si>
  <si>
    <t>44.3%</t>
  </si>
  <si>
    <t>ORD095</t>
  </si>
  <si>
    <t>2025-02-10</t>
  </si>
  <si>
    <t>35.1%</t>
  </si>
  <si>
    <t>ORD096</t>
  </si>
  <si>
    <t>ORD097</t>
  </si>
  <si>
    <t>2025-02-23</t>
  </si>
  <si>
    <t>36.6%</t>
  </si>
  <si>
    <t>ORD098</t>
  </si>
  <si>
    <t>2025-03-19</t>
  </si>
  <si>
    <t>50.8%</t>
  </si>
  <si>
    <t>ORD099</t>
  </si>
  <si>
    <t>ORD100</t>
  </si>
  <si>
    <t>42.2%</t>
  </si>
  <si>
    <t>ORD101</t>
  </si>
  <si>
    <t>52.4%</t>
  </si>
  <si>
    <t>ORD102</t>
  </si>
  <si>
    <t>35.6%</t>
  </si>
  <si>
    <t>ORD103</t>
  </si>
  <si>
    <t>44.7%</t>
  </si>
  <si>
    <t>ORD104</t>
  </si>
  <si>
    <t>ORD105</t>
  </si>
  <si>
    <t>24/03/2025</t>
  </si>
  <si>
    <t>ORD106</t>
  </si>
  <si>
    <t>2025-02-28</t>
  </si>
  <si>
    <t>51.1%</t>
  </si>
  <si>
    <t>ORD107</t>
  </si>
  <si>
    <t>ORD108</t>
  </si>
  <si>
    <t>2025-03-17</t>
  </si>
  <si>
    <t>52.8%</t>
  </si>
  <si>
    <t>ORD109</t>
  </si>
  <si>
    <t>2025-02-04</t>
  </si>
  <si>
    <t>35.5%</t>
  </si>
  <si>
    <t>ORD110</t>
  </si>
  <si>
    <t>2025-01-09</t>
  </si>
  <si>
    <t>ORD111</t>
  </si>
  <si>
    <t>ORD112</t>
  </si>
  <si>
    <t>2025-02-01</t>
  </si>
  <si>
    <t>ORD113</t>
  </si>
  <si>
    <t>ORD114</t>
  </si>
  <si>
    <t>31.0%</t>
  </si>
  <si>
    <t>ORD115</t>
  </si>
  <si>
    <t>56.2%</t>
  </si>
  <si>
    <t>ORD116</t>
  </si>
  <si>
    <t>2025-01-11</t>
  </si>
  <si>
    <t>38.0%</t>
  </si>
  <si>
    <t>ORD117</t>
  </si>
  <si>
    <t>55.6%</t>
  </si>
  <si>
    <t>ORD118</t>
  </si>
  <si>
    <t>ORD119</t>
  </si>
  <si>
    <t>35.9%</t>
  </si>
  <si>
    <t>ORD120</t>
  </si>
  <si>
    <t>05/01/2025</t>
  </si>
  <si>
    <t>45.8%</t>
  </si>
  <si>
    <t>BASIC</t>
  </si>
  <si>
    <r>
      <t xml:space="preserve">1. What is the </t>
    </r>
    <r>
      <rPr>
        <b/>
        <sz val="11"/>
        <color theme="1"/>
        <rFont val="Corbel"/>
        <family val="2"/>
        <scheme val="minor"/>
      </rPr>
      <t>total revenue</t>
    </r>
    <r>
      <rPr>
        <sz val="11"/>
        <color theme="1"/>
        <rFont val="Corbel"/>
        <family val="2"/>
        <scheme val="minor"/>
      </rPr>
      <t xml:space="preserve"> generated?</t>
    </r>
  </si>
  <si>
    <r>
      <t xml:space="preserve">2. What is the </t>
    </r>
    <r>
      <rPr>
        <b/>
        <sz val="11"/>
        <color theme="1"/>
        <rFont val="Corbel"/>
        <family val="2"/>
        <scheme val="minor"/>
      </rPr>
      <t>total profit</t>
    </r>
    <r>
      <rPr>
        <sz val="11"/>
        <color theme="1"/>
        <rFont val="Corbel"/>
        <family val="2"/>
        <scheme val="minor"/>
      </rPr>
      <t>?</t>
    </r>
  </si>
  <si>
    <r>
      <t xml:space="preserve">3. What is the </t>
    </r>
    <r>
      <rPr>
        <b/>
        <sz val="11"/>
        <color theme="1"/>
        <rFont val="Corbel"/>
        <family val="2"/>
        <scheme val="minor"/>
      </rPr>
      <t>overall profit margin (%)</t>
    </r>
    <r>
      <rPr>
        <sz val="11"/>
        <color theme="1"/>
        <rFont val="Corbel"/>
        <family val="2"/>
        <scheme val="minor"/>
      </rPr>
      <t>?</t>
    </r>
  </si>
  <si>
    <r>
      <t xml:space="preserve">4. How many </t>
    </r>
    <r>
      <rPr>
        <b/>
        <sz val="11"/>
        <color theme="1"/>
        <rFont val="Corbel"/>
        <family val="2"/>
        <scheme val="minor"/>
      </rPr>
      <t>units were sold in total</t>
    </r>
    <r>
      <rPr>
        <sz val="11"/>
        <color theme="1"/>
        <rFont val="Corbel"/>
        <family val="2"/>
        <scheme val="minor"/>
      </rPr>
      <t>?</t>
    </r>
  </si>
  <si>
    <t>SALES PERFORMANCE</t>
  </si>
  <si>
    <r>
      <t xml:space="preserve">5. Which </t>
    </r>
    <r>
      <rPr>
        <b/>
        <sz val="11"/>
        <color theme="1"/>
        <rFont val="Corbel"/>
        <family val="2"/>
        <scheme val="minor"/>
      </rPr>
      <t>region generates the highest revenue</t>
    </r>
    <r>
      <rPr>
        <sz val="11"/>
        <color theme="1"/>
        <rFont val="Corbel"/>
        <family val="2"/>
        <scheme val="minor"/>
      </rPr>
      <t>?</t>
    </r>
  </si>
  <si>
    <r>
      <t xml:space="preserve">6. Which </t>
    </r>
    <r>
      <rPr>
        <b/>
        <sz val="11"/>
        <color theme="1"/>
        <rFont val="Corbel"/>
        <family val="2"/>
        <scheme val="minor"/>
      </rPr>
      <t>country contributes the most to sales</t>
    </r>
    <r>
      <rPr>
        <sz val="11"/>
        <color theme="1"/>
        <rFont val="Corbel"/>
        <family val="2"/>
        <scheme val="minor"/>
      </rPr>
      <t>?</t>
    </r>
  </si>
  <si>
    <r>
      <t xml:space="preserve">7. Which </t>
    </r>
    <r>
      <rPr>
        <b/>
        <sz val="11"/>
        <color theme="1"/>
        <rFont val="Corbel"/>
        <family val="2"/>
        <scheme val="minor"/>
      </rPr>
      <t>city has the highest sales volume</t>
    </r>
    <r>
      <rPr>
        <sz val="11"/>
        <color theme="1"/>
        <rFont val="Corbel"/>
        <family val="2"/>
        <scheme val="minor"/>
      </rPr>
      <t>?</t>
    </r>
  </si>
  <si>
    <t>PRODUCT ANALYSIS</t>
  </si>
  <si>
    <r>
      <t xml:space="preserve">8. Which </t>
    </r>
    <r>
      <rPr>
        <b/>
        <sz val="11"/>
        <color theme="1"/>
        <rFont val="Corbel"/>
        <family val="2"/>
        <scheme val="minor"/>
      </rPr>
      <t>product category performs best in revenue</t>
    </r>
    <r>
      <rPr>
        <sz val="11"/>
        <color theme="1"/>
        <rFont val="Corbel"/>
        <family val="2"/>
        <scheme val="minor"/>
      </rPr>
      <t>?</t>
    </r>
  </si>
  <si>
    <r>
      <t xml:space="preserve">9. Which </t>
    </r>
    <r>
      <rPr>
        <b/>
        <sz val="11"/>
        <color theme="1"/>
        <rFont val="Corbel"/>
        <family val="2"/>
        <scheme val="minor"/>
      </rPr>
      <t>product category is most profitable</t>
    </r>
    <r>
      <rPr>
        <sz val="11"/>
        <color theme="1"/>
        <rFont val="Corbel"/>
        <family val="2"/>
        <scheme val="minor"/>
      </rPr>
      <t>?</t>
    </r>
  </si>
  <si>
    <r>
      <t xml:space="preserve">10. Which </t>
    </r>
    <r>
      <rPr>
        <b/>
        <sz val="11"/>
        <color theme="1"/>
        <rFont val="Corbel"/>
        <family val="2"/>
        <scheme val="minor"/>
      </rPr>
      <t>individual product generates the most revenue</t>
    </r>
    <r>
      <rPr>
        <sz val="11"/>
        <color theme="1"/>
        <rFont val="Corbel"/>
        <family val="2"/>
        <scheme val="minor"/>
      </rPr>
      <t>?</t>
    </r>
  </si>
  <si>
    <r>
      <t xml:space="preserve">11. Are there products with </t>
    </r>
    <r>
      <rPr>
        <b/>
        <sz val="11"/>
        <color theme="1"/>
        <rFont val="Corbel"/>
        <family val="2"/>
        <scheme val="minor"/>
      </rPr>
      <t>high sales but low profit</t>
    </r>
    <r>
      <rPr>
        <sz val="11"/>
        <color theme="1"/>
        <rFont val="Corbel"/>
        <family val="2"/>
        <scheme val="minor"/>
      </rPr>
      <t>?</t>
    </r>
  </si>
  <si>
    <t>SALES CHANNEL ANALYSIS</t>
  </si>
  <si>
    <r>
      <t xml:space="preserve">12. Which </t>
    </r>
    <r>
      <rPr>
        <b/>
        <sz val="11"/>
        <color theme="1"/>
        <rFont val="Corbel"/>
        <family val="2"/>
        <scheme val="minor"/>
      </rPr>
      <t>sales channel</t>
    </r>
    <r>
      <rPr>
        <sz val="11"/>
        <color theme="1"/>
        <rFont val="Corbel"/>
        <family val="2"/>
        <scheme val="minor"/>
      </rPr>
      <t xml:space="preserve"> (Retail, Online, Distributor) generates the most revenue?</t>
    </r>
  </si>
  <si>
    <r>
      <t xml:space="preserve">13. Which </t>
    </r>
    <r>
      <rPr>
        <b/>
        <sz val="11"/>
        <color theme="1"/>
        <rFont val="Corbel"/>
        <family val="2"/>
        <scheme val="minor"/>
      </rPr>
      <t>sales channel is most profitable</t>
    </r>
    <r>
      <rPr>
        <sz val="11"/>
        <color theme="1"/>
        <rFont val="Corbel"/>
        <family val="2"/>
        <scheme val="minor"/>
      </rPr>
      <t>?</t>
    </r>
  </si>
  <si>
    <t>SALES REP PERFORMANCE</t>
  </si>
  <si>
    <r>
      <t xml:space="preserve">14. Who are the </t>
    </r>
    <r>
      <rPr>
        <b/>
        <sz val="11"/>
        <color theme="1"/>
        <rFont val="Corbel"/>
        <family val="2"/>
        <scheme val="minor"/>
      </rPr>
      <t>top 5 sales reps by revenue</t>
    </r>
    <r>
      <rPr>
        <sz val="11"/>
        <color theme="1"/>
        <rFont val="Corbel"/>
        <family val="2"/>
        <scheme val="minor"/>
      </rPr>
      <t>?</t>
    </r>
  </si>
  <si>
    <r>
      <t xml:space="preserve">15. Who generates the </t>
    </r>
    <r>
      <rPr>
        <b/>
        <sz val="11"/>
        <color theme="1"/>
        <rFont val="Corbel"/>
        <family val="2"/>
        <scheme val="minor"/>
      </rPr>
      <t>highest profit</t>
    </r>
    <r>
      <rPr>
        <sz val="11"/>
        <color theme="1"/>
        <rFont val="Corbel"/>
        <family val="2"/>
        <scheme val="minor"/>
      </rPr>
      <t>?</t>
    </r>
  </si>
  <si>
    <r>
      <t xml:space="preserve">16. Are there reps with </t>
    </r>
    <r>
      <rPr>
        <b/>
        <sz val="11"/>
        <color theme="1"/>
        <rFont val="Corbel"/>
        <family val="2"/>
        <scheme val="minor"/>
      </rPr>
      <t>high sales but low profitability</t>
    </r>
    <r>
      <rPr>
        <sz val="11"/>
        <color theme="1"/>
        <rFont val="Corbel"/>
        <family val="2"/>
        <scheme val="minor"/>
      </rPr>
      <t>?</t>
    </r>
  </si>
  <si>
    <t>TIME ANALYSIS</t>
  </si>
  <si>
    <r>
      <t xml:space="preserve">17. How does </t>
    </r>
    <r>
      <rPr>
        <b/>
        <sz val="11"/>
        <color theme="1"/>
        <rFont val="Corbel"/>
        <family val="2"/>
        <scheme val="minor"/>
      </rPr>
      <t>revenue trend over time</t>
    </r>
    <r>
      <rPr>
        <sz val="11"/>
        <color theme="1"/>
        <rFont val="Corbel"/>
        <family val="2"/>
        <scheme val="minor"/>
      </rPr>
      <t xml:space="preserve"> (daily/monthly)?</t>
    </r>
  </si>
  <si>
    <r>
      <t xml:space="preserve">18. Are there </t>
    </r>
    <r>
      <rPr>
        <b/>
        <sz val="11"/>
        <color theme="1"/>
        <rFont val="Corbel"/>
        <family val="2"/>
        <scheme val="minor"/>
      </rPr>
      <t>peak sales periods</t>
    </r>
    <r>
      <rPr>
        <sz val="11"/>
        <color theme="1"/>
        <rFont val="Corbel"/>
        <family val="2"/>
        <scheme val="minor"/>
      </rPr>
      <t>?</t>
    </r>
  </si>
  <si>
    <r>
      <t xml:space="preserve">19. Is profit </t>
    </r>
    <r>
      <rPr>
        <b/>
        <sz val="11"/>
        <color theme="1"/>
        <rFont val="Corbel"/>
        <family val="2"/>
        <scheme val="minor"/>
      </rPr>
      <t>consistent over time</t>
    </r>
    <r>
      <rPr>
        <sz val="11"/>
        <color theme="1"/>
        <rFont val="Corbel"/>
        <family val="2"/>
        <scheme val="minor"/>
      </rPr>
      <t>?</t>
    </r>
  </si>
  <si>
    <t>INTERMEDIATE INSIGHTS</t>
  </si>
  <si>
    <r>
      <t xml:space="preserve">20. Which </t>
    </r>
    <r>
      <rPr>
        <b/>
        <sz val="11"/>
        <color theme="1"/>
        <rFont val="Corbel"/>
        <family val="2"/>
        <scheme val="minor"/>
      </rPr>
      <t>region has the highest profit margin</t>
    </r>
    <r>
      <rPr>
        <sz val="11"/>
        <color theme="1"/>
        <rFont val="Corbel"/>
        <family val="2"/>
        <scheme val="minor"/>
      </rPr>
      <t>?</t>
    </r>
  </si>
  <si>
    <r>
      <t xml:space="preserve">21. Which </t>
    </r>
    <r>
      <rPr>
        <b/>
        <sz val="11"/>
        <color theme="1"/>
        <rFont val="Corbel"/>
        <family val="2"/>
        <scheme val="minor"/>
      </rPr>
      <t>product category performs best in each region</t>
    </r>
    <r>
      <rPr>
        <sz val="11"/>
        <color theme="1"/>
        <rFont val="Corbel"/>
        <family val="2"/>
        <scheme val="minor"/>
      </rPr>
      <t>?</t>
    </r>
  </si>
  <si>
    <r>
      <t xml:space="preserve">22. Which </t>
    </r>
    <r>
      <rPr>
        <b/>
        <sz val="11"/>
        <color theme="1"/>
        <rFont val="Corbel"/>
        <family val="2"/>
        <scheme val="minor"/>
      </rPr>
      <t>sales channel works best in each region</t>
    </r>
    <r>
      <rPr>
        <sz val="11"/>
        <color theme="1"/>
        <rFont val="Corbel"/>
        <family val="2"/>
        <scheme val="minor"/>
      </rPr>
      <t>?</t>
    </r>
  </si>
  <si>
    <r>
      <t xml:space="preserve">23. Are there </t>
    </r>
    <r>
      <rPr>
        <b/>
        <sz val="11"/>
        <color theme="1"/>
        <rFont val="Corbel"/>
        <family val="2"/>
        <scheme val="minor"/>
      </rPr>
      <t>underperforming regions or countries</t>
    </r>
    <r>
      <rPr>
        <sz val="11"/>
        <color theme="1"/>
        <rFont val="Corbel"/>
        <family val="2"/>
        <scheme val="minor"/>
      </rPr>
      <t>?</t>
    </r>
  </si>
  <si>
    <r>
      <t xml:space="preserve">24. Where are we making </t>
    </r>
    <r>
      <rPr>
        <b/>
        <sz val="11"/>
        <color theme="1"/>
        <rFont val="Corbel"/>
        <family val="2"/>
        <scheme val="minor"/>
      </rPr>
      <t>revenue but losing profitability</t>
    </r>
    <r>
      <rPr>
        <sz val="11"/>
        <color theme="1"/>
        <rFont val="Corbel"/>
        <family val="2"/>
        <scheme val="minor"/>
      </rPr>
      <t>?</t>
    </r>
  </si>
  <si>
    <t>DASHBOARD-DRIVEN QUESTIONS</t>
  </si>
  <si>
    <r>
      <t xml:space="preserve">25. What are the </t>
    </r>
    <r>
      <rPr>
        <b/>
        <sz val="11"/>
        <color theme="1"/>
        <rFont val="Corbel"/>
        <family val="2"/>
        <scheme val="minor"/>
      </rPr>
      <t>key KPIs to highlight at the top</t>
    </r>
    <r>
      <rPr>
        <sz val="11"/>
        <color theme="1"/>
        <rFont val="Corbel"/>
        <family val="2"/>
        <scheme val="minor"/>
      </rPr>
      <t>?</t>
    </r>
  </si>
  <si>
    <r>
      <t xml:space="preserve">26. What filters (slicers) should users use? </t>
    </r>
    <r>
      <rPr>
        <i/>
        <sz val="11"/>
        <color theme="1"/>
        <rFont val="Corbel"/>
        <family val="2"/>
        <scheme val="minor"/>
      </rPr>
      <t>(Region, Category, Channel, Date)</t>
    </r>
  </si>
  <si>
    <r>
      <t xml:space="preserve">27. What comparisons should be </t>
    </r>
    <r>
      <rPr>
        <b/>
        <sz val="11"/>
        <color theme="1"/>
        <rFont val="Corbel"/>
        <family val="2"/>
        <scheme val="minor"/>
      </rPr>
      <t>visible at a glance</t>
    </r>
    <r>
      <rPr>
        <sz val="11"/>
        <color theme="1"/>
        <rFont val="Corbel"/>
        <family val="2"/>
        <scheme val="minor"/>
      </rPr>
      <t>?</t>
    </r>
  </si>
  <si>
    <t>Row Labels</t>
  </si>
  <si>
    <t>Grand Total</t>
  </si>
  <si>
    <t>Sum of Total_Revenue</t>
  </si>
  <si>
    <t>Sum of Profit</t>
  </si>
  <si>
    <t>Sum of Units_Sold</t>
  </si>
  <si>
    <t>Average of Profit_Margin</t>
  </si>
  <si>
    <t>Values</t>
  </si>
  <si>
    <t>KPI</t>
  </si>
  <si>
    <t>SUM OF TOTAL REVENUE</t>
  </si>
  <si>
    <t>SUM OF PROFIT</t>
  </si>
  <si>
    <t>AVERAGE OF PROFIT MARGIN</t>
  </si>
  <si>
    <t>SUM OF UNITS SOLD</t>
  </si>
  <si>
    <t>BAR</t>
  </si>
  <si>
    <t>BAR/MAP</t>
  </si>
  <si>
    <t>COLUMN</t>
  </si>
  <si>
    <t>CLUSTERED COLUMN</t>
  </si>
  <si>
    <t>SCATTER PLOT</t>
  </si>
  <si>
    <t>DONOUGHT</t>
  </si>
  <si>
    <t>LINE</t>
  </si>
  <si>
    <t>STACKED COLUMN</t>
  </si>
  <si>
    <t>FILTER</t>
  </si>
  <si>
    <t>Bar Chart (Region vs Revenue)</t>
  </si>
  <si>
    <t>Line Chart (Trend)</t>
  </si>
  <si>
    <t>Column Chart (Category performance)</t>
  </si>
  <si>
    <t>Donut Chart (Channel split)</t>
  </si>
  <si>
    <t xml:space="preserve">Combination of: </t>
  </si>
  <si>
    <t>Jan</t>
  </si>
  <si>
    <t>Feb</t>
  </si>
  <si>
    <t>Mar</t>
  </si>
  <si>
    <t>COCACOLA SALES DASHBOARD Q1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</si>
</sst>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d/m/yyyy"/>
    <numFmt numFmtId="165" formatCode="0.0%"/>
    <numFmt numFmtId="166" formatCode="_(* #,##0_);_(* \(#,##0\);_(* &quot;-&quot;??_);_(@_)"/>
    <numFmt numFmtId="167" formatCode="&quot;$&quot;#,##0"/>
    <numFmt numFmtId="170" formatCode="_(&quot;$&quot;* #,##0_);_(&quot;$&quot;* \(#,##0\);_(&quot;$&quot;* &quot;-&quot;??_);_(@_)"/>
  </numFmts>
  <fonts count="6" x14ac:knownFonts="1">
    <font>
      <sz val="11"/>
      <color theme="1"/>
      <name val="Corbel"/>
      <family val="2"/>
      <scheme val="minor"/>
    </font>
    <font>
      <b/>
      <sz val="11"/>
      <color theme="1"/>
      <name val="Corbel"/>
      <family val="2"/>
      <scheme val="minor"/>
    </font>
    <font>
      <b/>
      <sz val="13.5"/>
      <color theme="1"/>
      <name val="Corbel"/>
      <family val="2"/>
      <scheme val="minor"/>
    </font>
    <font>
      <i/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24"/>
      <color theme="1"/>
      <name val="Corbel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64" fontId="0" fillId="0" borderId="0" xfId="0" applyNumberFormat="1"/>
    <xf numFmtId="2" fontId="0" fillId="0" borderId="0" xfId="0" applyNumberForma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  <xf numFmtId="2" fontId="0" fillId="0" borderId="0" xfId="0" applyNumberFormat="1" applyAlignment="1">
      <alignment horizontal="left"/>
    </xf>
    <xf numFmtId="166" fontId="0" fillId="0" borderId="0" xfId="0" applyNumberFormat="1"/>
    <xf numFmtId="0" fontId="0" fillId="2" borderId="0" xfId="0" applyFill="1"/>
    <xf numFmtId="167" fontId="0" fillId="0" borderId="0" xfId="0" applyNumberFormat="1"/>
    <xf numFmtId="1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0" xfId="0" applyFill="1"/>
    <xf numFmtId="9" fontId="0" fillId="0" borderId="0" xfId="0" applyNumberFormat="1"/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70" fontId="0" fillId="0" borderId="0" xfId="0" applyNumberFormat="1"/>
  </cellXfs>
  <cellStyles count="2">
    <cellStyle name="Normal" xfId="0" builtinId="0"/>
    <cellStyle name="Percent" xfId="1" builtinId="5"/>
  </cellStyles>
  <dxfs count="26">
    <dxf>
      <numFmt numFmtId="170" formatCode="_(&quot;$&quot;* #,##0_);_(&quot;$&quot;* \(#,##0\);_(&quot;$&quot;* &quot;-&quot;??_);_(@_)"/>
    </dxf>
    <dxf>
      <numFmt numFmtId="170" formatCode="_(&quot;$&quot;* #,##0_);_(&quot;$&quot;* \(#,##0\);_(&quot;$&quot;* &quot;-&quot;??_);_(@_)"/>
    </dxf>
    <dxf>
      <numFmt numFmtId="170" formatCode="_(&quot;$&quot;* #,##0_);_(&quot;$&quot;* \(#,##0\);_(&quot;$&quot;* &quot;-&quot;??_);_(@_)"/>
    </dxf>
    <dxf>
      <numFmt numFmtId="170" formatCode="_(&quot;$&quot;* #,##0_);_(&quot;$&quot;* \(#,##0\);_(&quot;$&quot;* &quot;-&quot;??_);_(@_)"/>
    </dxf>
    <dxf>
      <numFmt numFmtId="170" formatCode="_(&quot;$&quot;* #,##0_);_(&quot;$&quot;* \(#,##0\);_(&quot;$&quot;* &quot;-&quot;??_);_(@_)"/>
    </dxf>
    <dxf>
      <numFmt numFmtId="170" formatCode="_(&quot;$&quot;* #,##0_);_(&quot;$&quot;* \(#,##0\);_(&quot;$&quot;* &quot;-&quot;??_);_(@_)"/>
    </dxf>
    <dxf>
      <numFmt numFmtId="170" formatCode="_(&quot;$&quot;* #,##0_);_(&quot;$&quot;* \(#,##0\);_(&quot;$&quot;* &quot;-&quot;??_);_(@_)"/>
    </dxf>
    <dxf>
      <numFmt numFmtId="166" formatCode="_(* #,##0_);_(* \(#,##0\);_(* &quot;-&quot;??_);_(@_)"/>
    </dxf>
    <dxf>
      <numFmt numFmtId="35" formatCode="_(* #,##0.00_);_(* \(#,##0.00\);_(* &quot;-&quot;??_);_(@_)"/>
    </dxf>
    <dxf>
      <numFmt numFmtId="1" formatCode="0"/>
    </dxf>
    <dxf>
      <numFmt numFmtId="13" formatCode="0%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5" formatCode="0.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d/m/yyyy"/>
    </dxf>
    <dxf>
      <font>
        <b/>
        <sz val="11"/>
        <color theme="1"/>
      </font>
    </dxf>
    <dxf>
      <font>
        <b/>
        <i val="0"/>
        <sz val="9"/>
        <color auto="1"/>
      </font>
      <fill>
        <patternFill patternType="solid">
          <fgColor theme="0"/>
          <bgColor rgb="FFF40000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9" defaultPivotStyle="PivotStyleLight16">
    <tableStyle name="coca-cola" pivot="0" table="0" count="8" xr9:uid="{6860918E-45A2-4AEF-9566-C2CBB9CF9579}">
      <tableStyleElement type="wholeTable" dxfId="25"/>
      <tableStyleElement type="headerRow" dxfId="24"/>
    </tableStyle>
  </tableStyles>
  <colors>
    <mruColors>
      <color rgb="FFF40000"/>
      <color rgb="FFFB3811"/>
      <color rgb="FFFF5050"/>
      <color rgb="FFE7223A"/>
      <color rgb="FFFFCC00"/>
      <color rgb="FFF2050D"/>
      <color rgb="FFBA43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b/>
            <i val="0"/>
            <sz val="9"/>
            <color auto="1"/>
            <name val="Corbel"/>
            <family val="2"/>
            <scheme val="minor"/>
          </font>
        </dxf>
        <dxf>
          <font>
            <b/>
            <i val="0"/>
            <sz val="9"/>
            <color auto="1"/>
            <name val="Corbel"/>
            <family val="2"/>
            <scheme val="minor"/>
          </font>
        </dxf>
        <dxf>
          <font>
            <b/>
            <i val="0"/>
            <sz val="9"/>
            <color auto="1"/>
            <name val="Corbel"/>
            <family val="2"/>
            <scheme val="minor"/>
          </font>
        </dxf>
        <dxf>
          <font>
            <b/>
            <i val="0"/>
            <sz val="9"/>
            <color auto="1"/>
            <name val="Corbel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coca-cola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[cocacola_sales_project.xlsx]PIVOTTABLE!PivotTable4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Europe</a:t>
            </a:r>
            <a:r>
              <a:rPr lang="en-US" sz="1200" b="1" baseline="0">
                <a:solidFill>
                  <a:schemeClr val="tx1"/>
                </a:solidFill>
              </a:rPr>
              <a:t> generates the highest revenue</a:t>
            </a:r>
            <a:endParaRPr lang="en-US" sz="1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tx2">
              <a:lumMod val="7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PIVOTTABLE!$A$8:$A$11</c:f>
              <c:strCache>
                <c:ptCount val="3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</c:strCache>
            </c:strRef>
          </c:cat>
          <c:val>
            <c:numRef>
              <c:f>PIVOTTABLE!$B$8:$B$11</c:f>
              <c:numCache>
                <c:formatCode>_("$"* #,##0_);_("$"* \(#,##0\);_("$"* "-"??_);_(@_)</c:formatCode>
                <c:ptCount val="3"/>
                <c:pt idx="0">
                  <c:v>6001.25</c:v>
                </c:pt>
                <c:pt idx="1">
                  <c:v>7420.1899999999987</c:v>
                </c:pt>
                <c:pt idx="2">
                  <c:v>7974.3500000000013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50-415F-8189-5F984A625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2"/>
        <c:overlap val="-36"/>
        <c:axId val="1135717632"/>
        <c:axId val="1137631072"/>
      </c:barChart>
      <c:catAx>
        <c:axId val="113571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31072"/>
        <c:crosses val="autoZero"/>
        <c:auto val="1"/>
        <c:lblAlgn val="ctr"/>
        <c:lblOffset val="100"/>
        <c:noMultiLvlLbl val="0"/>
      </c:catAx>
      <c:valAx>
        <c:axId val="1137631072"/>
        <c:scaling>
          <c:orientation val="minMax"/>
          <c:max val="8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=1000000]0,,&quot;M&quot;;[&gt;=1000]0,&quot;K&quot;;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71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20000"/>
        <a:lumOff val="80000"/>
      </a:schemeClr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[cocacola_sales_project.xlsx]PIVOTTABLE!PivotTable3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UK generates the most revenue</a:t>
            </a:r>
          </a:p>
        </c:rich>
      </c:tx>
      <c:layout>
        <c:manualLayout>
          <c:xMode val="edge"/>
          <c:yMode val="edge"/>
          <c:x val="0.26828455818022745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200062256368901"/>
          <c:y val="0.18353012325072265"/>
          <c:w val="0.80846658318653564"/>
          <c:h val="0.6235156089359797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PIVOTTABLE!$E$3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PIVOTTABLE!$D$4:$D$10</c:f>
              <c:strCache>
                <c:ptCount val="6"/>
                <c:pt idx="0">
                  <c:v>Nigeria</c:v>
                </c:pt>
                <c:pt idx="1">
                  <c:v>Germany</c:v>
                </c:pt>
                <c:pt idx="2">
                  <c:v>Kenya</c:v>
                </c:pt>
                <c:pt idx="3">
                  <c:v>India</c:v>
                </c:pt>
                <c:pt idx="4">
                  <c:v>UAE</c:v>
                </c:pt>
                <c:pt idx="5">
                  <c:v>UK</c:v>
                </c:pt>
              </c:strCache>
            </c:strRef>
          </c:cat>
          <c:val>
            <c:numRef>
              <c:f>PIVOTTABLE!$E$4:$E$10</c:f>
              <c:numCache>
                <c:formatCode>"$"#,##0</c:formatCode>
                <c:ptCount val="6"/>
                <c:pt idx="0">
                  <c:v>2557.5000000000005</c:v>
                </c:pt>
                <c:pt idx="1">
                  <c:v>2776.6</c:v>
                </c:pt>
                <c:pt idx="2">
                  <c:v>3443.75</c:v>
                </c:pt>
                <c:pt idx="3">
                  <c:v>3454.5899999999997</c:v>
                </c:pt>
                <c:pt idx="4">
                  <c:v>3965.6000000000004</c:v>
                </c:pt>
                <c:pt idx="5">
                  <c:v>5197.7500000000009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8C-409E-BCBC-70E196834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2"/>
        <c:axId val="1163908831"/>
        <c:axId val="1198581135"/>
      </c:barChart>
      <c:catAx>
        <c:axId val="116390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581135"/>
        <c:crosses val="autoZero"/>
        <c:auto val="1"/>
        <c:lblAlgn val="ctr"/>
        <c:lblOffset val="100"/>
        <c:noMultiLvlLbl val="0"/>
      </c:catAx>
      <c:valAx>
        <c:axId val="1198581135"/>
        <c:scaling>
          <c:orientation val="minMax"/>
        </c:scaling>
        <c:delete val="0"/>
        <c:axPos val="l"/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088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[cocacola_sales_project.xlsx]PIVOTTABLE!PivotTable6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0">
                <a:solidFill>
                  <a:sysClr val="windowText" lastClr="000000"/>
                </a:solidFill>
              </a:rPr>
              <a:t>Revenue by product name</a:t>
            </a:r>
          </a:p>
        </c:rich>
      </c:tx>
      <c:layout>
        <c:manualLayout>
          <c:xMode val="edge"/>
          <c:yMode val="edge"/>
          <c:x val="5.4259073557086021E-2"/>
          <c:y val="1.84104626020803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99299879676561E-2"/>
          <c:y val="0.14068600740635337"/>
          <c:w val="0.86376155637276841"/>
          <c:h val="0.696156435787888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PIVOTTABLE!$E$14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PIVOTTABLE!$D$15:$D$20</c:f>
              <c:strCache>
                <c:ptCount val="5"/>
                <c:pt idx="0">
                  <c:v>Minute Maid Mango</c:v>
                </c:pt>
                <c:pt idx="1">
                  <c:v>Coca-Cola 1L</c:v>
                </c:pt>
                <c:pt idx="2">
                  <c:v>Dasani 500ml</c:v>
                </c:pt>
                <c:pt idx="3">
                  <c:v>Minute Maid Apple</c:v>
                </c:pt>
                <c:pt idx="4">
                  <c:v>Coca-Cola 500ml</c:v>
                </c:pt>
              </c:strCache>
            </c:strRef>
          </c:cat>
          <c:val>
            <c:numRef>
              <c:f>PIVOTTABLE!$E$15:$E$20</c:f>
              <c:numCache>
                <c:formatCode>_("$"* #,##0_);_("$"* \(#,##0\);_("$"* "-"??_);_(@_)</c:formatCode>
                <c:ptCount val="5"/>
                <c:pt idx="0">
                  <c:v>1928.6599999999999</c:v>
                </c:pt>
                <c:pt idx="1">
                  <c:v>2553.3399999999997</c:v>
                </c:pt>
                <c:pt idx="2">
                  <c:v>3116.95</c:v>
                </c:pt>
                <c:pt idx="3">
                  <c:v>4103.6200000000008</c:v>
                </c:pt>
                <c:pt idx="4">
                  <c:v>4218.2500000000009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2-40F9-A42A-B16333442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7387455"/>
        <c:axId val="1764167343"/>
      </c:barChart>
      <c:catAx>
        <c:axId val="177738745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crossAx val="1764167343"/>
        <c:crosses val="autoZero"/>
        <c:auto val="1"/>
        <c:lblAlgn val="ctr"/>
        <c:lblOffset val="50"/>
        <c:noMultiLvlLbl val="0"/>
      </c:catAx>
      <c:valAx>
        <c:axId val="176416734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layout>
            <c:manualLayout>
              <c:xMode val="edge"/>
              <c:yMode val="edge"/>
              <c:x val="0.30222818073914959"/>
              <c:y val="0.872871627835949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177738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[cocacola_sales_project.xlsx]PIVOTTABLE!PivotTable7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923026645015676"/>
          <c:y val="0.18943533697632059"/>
          <c:w val="0.79712300023218952"/>
          <c:h val="0.641542676017956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PIVOTTABLE!$B$23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PIVOTTABLE!$A$24:$A$27</c:f>
              <c:strCache>
                <c:ptCount val="3"/>
                <c:pt idx="0">
                  <c:v>Juice</c:v>
                </c:pt>
                <c:pt idx="1">
                  <c:v>Soda</c:v>
                </c:pt>
                <c:pt idx="2">
                  <c:v>Water</c:v>
                </c:pt>
              </c:strCache>
            </c:strRef>
          </c:cat>
          <c:val>
            <c:numRef>
              <c:f>PIVOTTABLE!$B$24:$B$27</c:f>
              <c:numCache>
                <c:formatCode>"$"#,##0</c:formatCode>
                <c:ptCount val="3"/>
                <c:pt idx="0">
                  <c:v>3370.3799999999992</c:v>
                </c:pt>
                <c:pt idx="1">
                  <c:v>3942.6900000000005</c:v>
                </c:pt>
                <c:pt idx="2">
                  <c:v>2256.23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3-4724-AAA8-9F245F783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axId val="1880036159"/>
        <c:axId val="1640922431"/>
      </c:barChart>
      <c:lineChart>
        <c:grouping val="standard"/>
        <c:varyColors val="0"/>
        <c:ser>
          <c:idx val="1"/>
          <c:order val="1"/>
          <c:tx>
            <c:strRef>
              <c:f>PIVOTTABLE!$C$23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PIVOTTABLE!$A$24:$A$27</c:f>
              <c:strCache>
                <c:ptCount val="3"/>
                <c:pt idx="0">
                  <c:v>Juice</c:v>
                </c:pt>
                <c:pt idx="1">
                  <c:v>Soda</c:v>
                </c:pt>
                <c:pt idx="2">
                  <c:v>Water</c:v>
                </c:pt>
              </c:strCache>
            </c:strRef>
          </c:cat>
          <c:val>
            <c:numRef>
              <c:f>PIVOTTABLE!$C$24:$C$27</c:f>
              <c:numCache>
                <c:formatCode>_("$"* #,##0_);_("$"* \(#,##0\);_("$"* "-"??_);_(@_)</c:formatCode>
                <c:ptCount val="3"/>
                <c:pt idx="0">
                  <c:v>7851.5699999999988</c:v>
                </c:pt>
                <c:pt idx="1">
                  <c:v>8590.1699999999983</c:v>
                </c:pt>
                <c:pt idx="2">
                  <c:v>4954.0499999999993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93-4724-AAA8-9F245F783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0036159"/>
        <c:axId val="1640922431"/>
      </c:lineChart>
      <c:catAx>
        <c:axId val="188003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922431"/>
        <c:crosses val="autoZero"/>
        <c:auto val="1"/>
        <c:lblAlgn val="ctr"/>
        <c:lblOffset val="100"/>
        <c:noMultiLvlLbl val="0"/>
      </c:catAx>
      <c:valAx>
        <c:axId val="164092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03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>
          <a:outerShdw blurRad="50800" dist="50800" dir="5400000" algn="ctr" rotWithShape="0">
            <a:srgbClr val="000000">
              <a:alpha val="17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[cocacola_sales_project.xlsx]PIVOTTABLE!PivotTable9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January</a:t>
            </a:r>
            <a:r>
              <a:rPr lang="en-US" b="1" baseline="0"/>
              <a:t> made the highest profit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81714785651793"/>
          <c:y val="0.17171296296296296"/>
          <c:w val="0.85862729658792647"/>
          <c:h val="0.65144320501603969"/>
        </c:manualLayout>
      </c:layout>
      <c:lineChart>
        <c:grouping val="standard"/>
        <c:varyColors val="0"/>
        <c:ser>
          <c:idx val="0"/>
          <c:order val="0"/>
          <c:tx>
            <c:strRef>
              <c:f>PIVOTTABLE!$I$1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PIVOTTABLE!$H$2:$H$5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PIVOTTABLE!$I$2:$I$5</c:f>
              <c:numCache>
                <c:formatCode>0</c:formatCode>
                <c:ptCount val="3"/>
                <c:pt idx="0">
                  <c:v>3821.4500000000003</c:v>
                </c:pt>
                <c:pt idx="1">
                  <c:v>2875.6999999999994</c:v>
                </c:pt>
                <c:pt idx="2">
                  <c:v>2872.15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8C-4324-8C6A-8040B83AFF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68252640"/>
        <c:axId val="973935648"/>
      </c:lineChart>
      <c:catAx>
        <c:axId val="96825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935648"/>
        <c:crosses val="autoZero"/>
        <c:auto val="1"/>
        <c:lblAlgn val="ctr"/>
        <c:lblOffset val="100"/>
        <c:noMultiLvlLbl val="0"/>
      </c:catAx>
      <c:valAx>
        <c:axId val="9739356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crossAx val="96825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[cocacola_sales_project.xlsx]PIVOTTABLE!PivotTable10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Profits</a:t>
            </a:r>
            <a:r>
              <a:rPr lang="en-US" baseline="0"/>
              <a:t> by sales channel</a:t>
            </a:r>
          </a:p>
        </c:rich>
      </c:tx>
      <c:layout>
        <c:manualLayout>
          <c:xMode val="edge"/>
          <c:yMode val="edge"/>
          <c:x val="0.1807199100112486"/>
          <c:y val="6.0043161271507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accent1"/>
            </a:solidFill>
          </a:ln>
          <a:effectLst/>
          <a:sp3d contourW="25400">
            <a:contourClr>
              <a:schemeClr val="accen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5400">
            <a:solidFill>
              <a:schemeClr val="accent1"/>
            </a:solidFill>
          </a:ln>
          <a:effectLst/>
          <a:sp3d contourW="25400">
            <a:contourClr>
              <a:schemeClr val="accen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noFill/>
          </a:ln>
          <a:effectLst/>
          <a:sp3d/>
        </c:spPr>
      </c:pivotFmt>
      <c:pivotFmt>
        <c:idx val="5"/>
        <c:spPr>
          <a:solidFill>
            <a:schemeClr val="accent1"/>
          </a:solidFill>
          <a:ln w="25400">
            <a:noFill/>
          </a:ln>
          <a:effectLst/>
          <a:sp3d/>
        </c:spPr>
      </c:pivotFmt>
      <c:pivotFmt>
        <c:idx val="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5400">
            <a:solidFill>
              <a:schemeClr val="accent1"/>
            </a:solidFill>
          </a:ln>
          <a:effectLst/>
          <a:sp3d contourW="25400">
            <a:contourClr>
              <a:schemeClr val="accen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noFill/>
          </a:ln>
          <a:effectLst/>
          <a:sp3d/>
        </c:spPr>
      </c:pivotFmt>
      <c:pivotFmt>
        <c:idx val="9"/>
        <c:spPr>
          <a:solidFill>
            <a:schemeClr val="accent1"/>
          </a:solidFill>
          <a:ln w="25400"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20807407407407411"/>
          <c:w val="0.82211982430767583"/>
          <c:h val="0.74748148148148152"/>
        </c:manualLayout>
      </c:layout>
      <c:pie3DChart>
        <c:varyColors val="1"/>
        <c:ser>
          <c:idx val="0"/>
          <c:order val="0"/>
          <c:tx>
            <c:strRef>
              <c:f>PIVOTTABLE!$I$8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  <a:sp3d contourW="25400"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84-4547-B552-2B16482D1D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CA84-4547-B552-2B16482D1D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CA84-4547-B552-2B16482D1D70}"/>
              </c:ext>
            </c:extLst>
          </c:dPt>
          <c:cat>
            <c:strRef>
              <c:f>PIVOTTABLE!$H$9:$H$12</c:f>
              <c:strCache>
                <c:ptCount val="3"/>
                <c:pt idx="0">
                  <c:v>Distributor</c:v>
                </c:pt>
                <c:pt idx="1">
                  <c:v>Online</c:v>
                </c:pt>
                <c:pt idx="2">
                  <c:v>Retail</c:v>
                </c:pt>
              </c:strCache>
            </c:strRef>
          </c:cat>
          <c:val>
            <c:numRef>
              <c:f>PIVOTTABLE!$I$9:$I$12</c:f>
              <c:numCache>
                <c:formatCode>0</c:formatCode>
                <c:ptCount val="3"/>
                <c:pt idx="0">
                  <c:v>2493.4400000000005</c:v>
                </c:pt>
                <c:pt idx="1">
                  <c:v>3246.6499999999992</c:v>
                </c:pt>
                <c:pt idx="2">
                  <c:v>3829.2099999999996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84-4547-B552-2B16482D1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9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[cocacola_sales_project.xlsx]PIVOTTABLE!PivotTable4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Europe</a:t>
            </a:r>
            <a:r>
              <a:rPr lang="en-US" sz="1200" b="1" baseline="0">
                <a:solidFill>
                  <a:schemeClr val="bg1"/>
                </a:solidFill>
              </a:rPr>
              <a:t> generates the highest revenue</a:t>
            </a:r>
            <a:endParaRPr lang="en-US" sz="12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tx2">
              <a:lumMod val="7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tx2">
              <a:lumMod val="7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tx2">
              <a:lumMod val="7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795588422482432"/>
          <c:y val="0.26964829396325463"/>
          <c:w val="0.83411381610615898"/>
          <c:h val="0.544783902012248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PIVOTTABLE!$A$8:$A$11</c:f>
              <c:strCache>
                <c:ptCount val="3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</c:strCache>
            </c:strRef>
          </c:cat>
          <c:val>
            <c:numRef>
              <c:f>PIVOTTABLE!$B$8:$B$11</c:f>
              <c:numCache>
                <c:formatCode>_("$"* #,##0_);_("$"* \(#,##0\);_("$"* "-"??_);_(@_)</c:formatCode>
                <c:ptCount val="3"/>
                <c:pt idx="0">
                  <c:v>6001.25</c:v>
                </c:pt>
                <c:pt idx="1">
                  <c:v>7420.1899999999987</c:v>
                </c:pt>
                <c:pt idx="2">
                  <c:v>7974.3500000000013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4-49D5-8C4C-F288FC8B4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2"/>
        <c:overlap val="-36"/>
        <c:axId val="1135717632"/>
        <c:axId val="1137631072"/>
      </c:barChart>
      <c:catAx>
        <c:axId val="113571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31072"/>
        <c:crosses val="autoZero"/>
        <c:auto val="1"/>
        <c:lblAlgn val="ctr"/>
        <c:lblOffset val="100"/>
        <c:noMultiLvlLbl val="0"/>
      </c:catAx>
      <c:valAx>
        <c:axId val="1137631072"/>
        <c:scaling>
          <c:orientation val="minMax"/>
          <c:max val="8000"/>
        </c:scaling>
        <c:delete val="0"/>
        <c:axPos val="l"/>
        <c:numFmt formatCode="[&gt;=1000000]0,,&quot;M&quot;;[&gt;=1000]0,&quot;K&quot;;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71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4000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[cocacola_sales_project.xlsx]PIVOTTABLE!PivotTable3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300" b="1">
                <a:solidFill>
                  <a:schemeClr val="bg1"/>
                </a:solidFill>
              </a:rPr>
              <a:t>UK generated the most revenue</a:t>
            </a:r>
          </a:p>
        </c:rich>
      </c:tx>
      <c:layout>
        <c:manualLayout>
          <c:xMode val="edge"/>
          <c:yMode val="edge"/>
          <c:x val="0.19590000284978132"/>
          <c:y val="7.466543454806569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tx1">
              <a:lumMod val="75000"/>
              <a:lumOff val="25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153659590019602"/>
          <c:y val="0.18353012325072265"/>
          <c:w val="0.79426492574504137"/>
          <c:h val="0.769839184466582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PIVOTTABLE!$E$3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PIVOTTABLE!$D$4:$D$10</c:f>
              <c:strCache>
                <c:ptCount val="6"/>
                <c:pt idx="0">
                  <c:v>Nigeria</c:v>
                </c:pt>
                <c:pt idx="1">
                  <c:v>Germany</c:v>
                </c:pt>
                <c:pt idx="2">
                  <c:v>Kenya</c:v>
                </c:pt>
                <c:pt idx="3">
                  <c:v>India</c:v>
                </c:pt>
                <c:pt idx="4">
                  <c:v>UAE</c:v>
                </c:pt>
                <c:pt idx="5">
                  <c:v>UK</c:v>
                </c:pt>
              </c:strCache>
            </c:strRef>
          </c:cat>
          <c:val>
            <c:numRef>
              <c:f>PIVOTTABLE!$E$4:$E$10</c:f>
              <c:numCache>
                <c:formatCode>"$"#,##0</c:formatCode>
                <c:ptCount val="6"/>
                <c:pt idx="0">
                  <c:v>2557.5000000000005</c:v>
                </c:pt>
                <c:pt idx="1">
                  <c:v>2776.6</c:v>
                </c:pt>
                <c:pt idx="2">
                  <c:v>3443.75</c:v>
                </c:pt>
                <c:pt idx="3">
                  <c:v>3454.5899999999997</c:v>
                </c:pt>
                <c:pt idx="4">
                  <c:v>3965.6000000000004</c:v>
                </c:pt>
                <c:pt idx="5">
                  <c:v>5197.7500000000009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5-42D9-8F09-DD5F5255E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1163908831"/>
        <c:axId val="1198581135"/>
      </c:barChart>
      <c:catAx>
        <c:axId val="1163908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581135"/>
        <c:crosses val="autoZero"/>
        <c:auto val="1"/>
        <c:lblAlgn val="ctr"/>
        <c:lblOffset val="100"/>
        <c:noMultiLvlLbl val="0"/>
      </c:catAx>
      <c:valAx>
        <c:axId val="1198581135"/>
        <c:scaling>
          <c:orientation val="minMax"/>
        </c:scaling>
        <c:delete val="1"/>
        <c:axPos val="b"/>
        <c:numFmt formatCode="&quot;$&quot;#,##0,&quot;k&quot;" sourceLinked="0"/>
        <c:majorTickMark val="none"/>
        <c:minorTickMark val="none"/>
        <c:tickLblPos val="nextTo"/>
        <c:crossAx val="11639088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40000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[cocacola_sales_project.xlsx]PIVOTTABLE!PivotTable10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Profits by sales channel</a:t>
            </a:r>
          </a:p>
        </c:rich>
      </c:tx>
      <c:layout>
        <c:manualLayout>
          <c:xMode val="edge"/>
          <c:yMode val="edge"/>
          <c:x val="0.1807199100112486"/>
          <c:y val="6.0043161271507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accent1"/>
            </a:solidFill>
          </a:ln>
          <a:effectLst/>
          <a:sp3d contourW="25400">
            <a:contourClr>
              <a:schemeClr val="accen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5400">
            <a:solidFill>
              <a:schemeClr val="accent1"/>
            </a:solidFill>
          </a:ln>
          <a:effectLst/>
          <a:sp3d contourW="25400">
            <a:contourClr>
              <a:schemeClr val="accen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noFill/>
          </a:ln>
          <a:effectLst/>
          <a:sp3d/>
        </c:spPr>
      </c:pivotFmt>
      <c:pivotFmt>
        <c:idx val="5"/>
        <c:spPr>
          <a:solidFill>
            <a:schemeClr val="accent1"/>
          </a:solidFill>
          <a:ln w="25400">
            <a:noFill/>
          </a:ln>
          <a:effectLst/>
          <a:sp3d/>
        </c:spPr>
      </c:pivotFmt>
      <c:pivotFmt>
        <c:idx val="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5400">
            <a:solidFill>
              <a:schemeClr val="accent1"/>
            </a:solidFill>
          </a:ln>
          <a:effectLst/>
          <a:sp3d contourW="25400">
            <a:contourClr>
              <a:schemeClr val="accen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noFill/>
          </a:ln>
          <a:effectLst/>
          <a:sp3d/>
        </c:spPr>
      </c:pivotFmt>
      <c:pivotFmt>
        <c:idx val="9"/>
        <c:spPr>
          <a:solidFill>
            <a:schemeClr val="accent1"/>
          </a:solidFill>
          <a:ln w="25400">
            <a:noFill/>
          </a:ln>
          <a:effectLst/>
          <a:sp3d/>
        </c:spPr>
      </c:pivotFmt>
      <c:pivotFmt>
        <c:idx val="1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5400">
            <a:solidFill>
              <a:schemeClr val="accent1"/>
            </a:solidFill>
          </a:ln>
          <a:effectLst/>
          <a:sp3d contourW="25400">
            <a:contourClr>
              <a:schemeClr val="accen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noFill/>
          </a:ln>
          <a:effectLst/>
          <a:sp3d/>
        </c:spPr>
      </c:pivotFmt>
      <c:pivotFmt>
        <c:idx val="13"/>
        <c:spPr>
          <a:solidFill>
            <a:schemeClr val="accent1"/>
          </a:solidFill>
          <a:ln w="25400">
            <a:noFill/>
          </a:ln>
          <a:effectLst/>
          <a:sp3d/>
        </c:spPr>
      </c:pivotFmt>
      <c:pivotFmt>
        <c:idx val="1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</c:pivotFmt>
      <c:pivotFmt>
        <c:idx val="15"/>
        <c:spPr>
          <a:solidFill>
            <a:schemeClr val="accent4"/>
          </a:solidFill>
          <a:ln w="25400">
            <a:solidFill>
              <a:schemeClr val="accent1"/>
            </a:solidFill>
          </a:ln>
          <a:effectLst/>
          <a:sp3d contourW="25400">
            <a:contourClr>
              <a:schemeClr val="accent1"/>
            </a:contourClr>
          </a:sp3d>
        </c:spPr>
      </c:pivotFmt>
      <c:pivotFmt>
        <c:idx val="16"/>
        <c:spPr>
          <a:solidFill>
            <a:srgbClr val="7030A0"/>
          </a:solidFill>
          <a:ln w="25400">
            <a:noFill/>
          </a:ln>
          <a:effectLst/>
          <a:sp3d/>
        </c:spPr>
      </c:pivotFmt>
      <c:pivotFmt>
        <c:idx val="17"/>
        <c:spPr>
          <a:solidFill>
            <a:schemeClr val="accent1"/>
          </a:solidFill>
          <a:ln w="25400"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2302962962962963"/>
          <c:w val="0.80011752982249951"/>
          <c:h val="0.72525925925925916"/>
        </c:manualLayout>
      </c:layout>
      <c:pie3DChart>
        <c:varyColors val="1"/>
        <c:ser>
          <c:idx val="0"/>
          <c:order val="0"/>
          <c:tx>
            <c:strRef>
              <c:f>PIVOTTABLE!$I$8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4"/>
              </a:solidFill>
              <a:ln w="25400">
                <a:solidFill>
                  <a:schemeClr val="accent1"/>
                </a:solidFill>
              </a:ln>
              <a:effectLst/>
              <a:sp3d contourW="25400"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8C3-4766-8D72-908A74788272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78C3-4766-8D72-908A74788272}"/>
              </c:ext>
            </c:extLst>
          </c:dPt>
          <c:dPt>
            <c:idx val="2"/>
            <c:bubble3D val="0"/>
            <c:explosion val="3"/>
            <c:spPr>
              <a:solidFill>
                <a:schemeClr val="accent3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78C3-4766-8D72-908A74788272}"/>
              </c:ext>
            </c:extLst>
          </c:dPt>
          <c:cat>
            <c:strRef>
              <c:f>PIVOTTABLE!$H$9:$H$12</c:f>
              <c:strCache>
                <c:ptCount val="3"/>
                <c:pt idx="0">
                  <c:v>Distributor</c:v>
                </c:pt>
                <c:pt idx="1">
                  <c:v>Online</c:v>
                </c:pt>
                <c:pt idx="2">
                  <c:v>Retail</c:v>
                </c:pt>
              </c:strCache>
            </c:strRef>
          </c:cat>
          <c:val>
            <c:numRef>
              <c:f>PIVOTTABLE!$I$9:$I$12</c:f>
              <c:numCache>
                <c:formatCode>0</c:formatCode>
                <c:ptCount val="3"/>
                <c:pt idx="0">
                  <c:v>2493.4400000000005</c:v>
                </c:pt>
                <c:pt idx="1">
                  <c:v>3246.6499999999992</c:v>
                </c:pt>
                <c:pt idx="2">
                  <c:v>3829.2099999999996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C3-4766-8D72-908A74788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olidFill>
          <a:srgbClr val="F40000"/>
        </a:solidFill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4761267548047916"/>
          <c:y val="0.20066666666666666"/>
          <c:w val="0.23877610984603317"/>
          <c:h val="0.567595217264508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40000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[cocacola_sales_project.xlsx]PIVOTTABLE!PivotTable9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Profits decreased with time</a:t>
            </a:r>
          </a:p>
        </c:rich>
      </c:tx>
      <c:layout>
        <c:manualLayout>
          <c:xMode val="edge"/>
          <c:yMode val="edge"/>
          <c:x val="0.166244725738396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087345094521414E-2"/>
          <c:y val="0.17171296296296296"/>
          <c:w val="0.93035715472274827"/>
          <c:h val="0.66731596050493691"/>
        </c:manualLayout>
      </c:layout>
      <c:lineChart>
        <c:grouping val="standard"/>
        <c:varyColors val="0"/>
        <c:ser>
          <c:idx val="0"/>
          <c:order val="0"/>
          <c:tx>
            <c:strRef>
              <c:f>PIVOTTABLE!$I$1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PIVOTTABLE!$H$2:$H$5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PIVOTTABLE!$I$2:$I$5</c:f>
              <c:numCache>
                <c:formatCode>0</c:formatCode>
                <c:ptCount val="3"/>
                <c:pt idx="0">
                  <c:v>3821.4500000000003</c:v>
                </c:pt>
                <c:pt idx="1">
                  <c:v>2875.6999999999994</c:v>
                </c:pt>
                <c:pt idx="2">
                  <c:v>2872.15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D-452A-8E14-912D3ECBA10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68252640"/>
        <c:axId val="973935648"/>
      </c:lineChart>
      <c:catAx>
        <c:axId val="96825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935648"/>
        <c:crosses val="autoZero"/>
        <c:auto val="1"/>
        <c:lblAlgn val="ctr"/>
        <c:lblOffset val="100"/>
        <c:noMultiLvlLbl val="0"/>
      </c:catAx>
      <c:valAx>
        <c:axId val="973935648"/>
        <c:scaling>
          <c:orientation val="minMax"/>
        </c:scaling>
        <c:delete val="1"/>
        <c:axPos val="l"/>
        <c:numFmt formatCode="&quot;$&quot;#,##0" sourceLinked="0"/>
        <c:majorTickMark val="none"/>
        <c:minorTickMark val="none"/>
        <c:tickLblPos val="nextTo"/>
        <c:crossAx val="96825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4000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[cocacola_sales_project.xlsx]PIVOTTABLE!PivotTable6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0">
                <a:solidFill>
                  <a:schemeClr val="bg1"/>
                </a:solidFill>
              </a:rPr>
              <a:t>Revenue by product name</a:t>
            </a:r>
          </a:p>
        </c:rich>
      </c:tx>
      <c:layout>
        <c:manualLayout>
          <c:xMode val="edge"/>
          <c:yMode val="edge"/>
          <c:x val="5.4259073557086021E-2"/>
          <c:y val="1.84104626020803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800601845343561"/>
          <c:y val="0.14068600740635337"/>
          <c:w val="0.57593268113317342"/>
          <c:h val="0.710987222096360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PIVOTTABLE!$E$14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PIVOTTABLE!$D$15:$D$20</c:f>
              <c:strCache>
                <c:ptCount val="5"/>
                <c:pt idx="0">
                  <c:v>Minute Maid Mango</c:v>
                </c:pt>
                <c:pt idx="1">
                  <c:v>Coca-Cola 1L</c:v>
                </c:pt>
                <c:pt idx="2">
                  <c:v>Dasani 500ml</c:v>
                </c:pt>
                <c:pt idx="3">
                  <c:v>Minute Maid Apple</c:v>
                </c:pt>
                <c:pt idx="4">
                  <c:v>Coca-Cola 500ml</c:v>
                </c:pt>
              </c:strCache>
            </c:strRef>
          </c:cat>
          <c:val>
            <c:numRef>
              <c:f>PIVOTTABLE!$E$15:$E$20</c:f>
              <c:numCache>
                <c:formatCode>_("$"* #,##0_);_("$"* \(#,##0\);_("$"* "-"??_);_(@_)</c:formatCode>
                <c:ptCount val="5"/>
                <c:pt idx="0">
                  <c:v>1928.6599999999999</c:v>
                </c:pt>
                <c:pt idx="1">
                  <c:v>2553.3399999999997</c:v>
                </c:pt>
                <c:pt idx="2">
                  <c:v>3116.95</c:v>
                </c:pt>
                <c:pt idx="3">
                  <c:v>4103.6200000000008</c:v>
                </c:pt>
                <c:pt idx="4">
                  <c:v>4218.2500000000009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5-430F-B1F3-36AA987D6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axId val="1777387455"/>
        <c:axId val="1764167343"/>
      </c:barChart>
      <c:catAx>
        <c:axId val="17773874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167343"/>
        <c:crosses val="autoZero"/>
        <c:auto val="1"/>
        <c:lblAlgn val="ctr"/>
        <c:lblOffset val="50"/>
        <c:noMultiLvlLbl val="0"/>
      </c:catAx>
      <c:valAx>
        <c:axId val="1764167343"/>
        <c:scaling>
          <c:orientation val="minMax"/>
        </c:scaling>
        <c:delete val="0"/>
        <c:axPos val="b"/>
        <c:numFmt formatCode="&quot;$&quot;#,##0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38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4000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[cocacola_sales_project.xlsx]PIVOTTABLE!PivotTable7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923026645015676"/>
          <c:y val="0.18943533697632059"/>
          <c:w val="0.79712300023218952"/>
          <c:h val="0.641542676017956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PIVOTTABLE!$B$23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PIVOTTABLE!$A$24:$A$27</c:f>
              <c:strCache>
                <c:ptCount val="3"/>
                <c:pt idx="0">
                  <c:v>Juice</c:v>
                </c:pt>
                <c:pt idx="1">
                  <c:v>Soda</c:v>
                </c:pt>
                <c:pt idx="2">
                  <c:v>Water</c:v>
                </c:pt>
              </c:strCache>
            </c:strRef>
          </c:cat>
          <c:val>
            <c:numRef>
              <c:f>PIVOTTABLE!$B$24:$B$27</c:f>
              <c:numCache>
                <c:formatCode>"$"#,##0</c:formatCode>
                <c:ptCount val="3"/>
                <c:pt idx="0">
                  <c:v>3370.3799999999992</c:v>
                </c:pt>
                <c:pt idx="1">
                  <c:v>3942.6900000000005</c:v>
                </c:pt>
                <c:pt idx="2">
                  <c:v>2256.23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2-4BDC-9606-16F1E0B89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axId val="1880036159"/>
        <c:axId val="1640922431"/>
      </c:barChart>
      <c:lineChart>
        <c:grouping val="standard"/>
        <c:varyColors val="0"/>
        <c:ser>
          <c:idx val="1"/>
          <c:order val="1"/>
          <c:tx>
            <c:strRef>
              <c:f>PIVOTTABLE!$C$23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PIVOTTABLE!$A$24:$A$27</c:f>
              <c:strCache>
                <c:ptCount val="3"/>
                <c:pt idx="0">
                  <c:v>Juice</c:v>
                </c:pt>
                <c:pt idx="1">
                  <c:v>Soda</c:v>
                </c:pt>
                <c:pt idx="2">
                  <c:v>Water</c:v>
                </c:pt>
              </c:strCache>
            </c:strRef>
          </c:cat>
          <c:val>
            <c:numRef>
              <c:f>PIVOTTABLE!$C$24:$C$27</c:f>
              <c:numCache>
                <c:formatCode>_("$"* #,##0_);_("$"* \(#,##0\);_("$"* "-"??_);_(@_)</c:formatCode>
                <c:ptCount val="3"/>
                <c:pt idx="0">
                  <c:v>7851.5699999999988</c:v>
                </c:pt>
                <c:pt idx="1">
                  <c:v>8590.1699999999983</c:v>
                </c:pt>
                <c:pt idx="2">
                  <c:v>4954.0499999999993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2-4BDC-9606-16F1E0B89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0036159"/>
        <c:axId val="1640922431"/>
      </c:lineChart>
      <c:catAx>
        <c:axId val="188003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922431"/>
        <c:crosses val="autoZero"/>
        <c:auto val="1"/>
        <c:lblAlgn val="ctr"/>
        <c:lblOffset val="100"/>
        <c:noMultiLvlLbl val="0"/>
      </c:catAx>
      <c:valAx>
        <c:axId val="164092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036159"/>
        <c:crosses val="autoZero"/>
        <c:crossBetween val="between"/>
      </c:valAx>
      <c:spPr>
        <a:solidFill>
          <a:srgbClr val="F40000"/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9999828452815948E-2"/>
          <c:y val="0"/>
          <c:w val="0.9"/>
          <c:h val="0.127119533787090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4000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2</xdr:row>
      <xdr:rowOff>38101</xdr:rowOff>
    </xdr:from>
    <xdr:to>
      <xdr:col>2</xdr:col>
      <xdr:colOff>190499</xdr:colOff>
      <xdr:row>4</xdr:row>
      <xdr:rowOff>180975</xdr:rowOff>
    </xdr:to>
    <xdr:sp macro="" textlink="PIVOTTABLE!B2">
      <xdr:nvSpPr>
        <xdr:cNvPr id="5" name="Rectangle: Rounded Corners 4">
          <a:extLst>
            <a:ext uri="{FF2B5EF4-FFF2-40B4-BE49-F238E27FC236}">
              <a16:creationId xmlns:a16="http://schemas.microsoft.com/office/drawing/2014/main" id="{C8858144-384D-4964-A424-BB7008B49F77}"/>
            </a:ext>
          </a:extLst>
        </xdr:cNvPr>
        <xdr:cNvSpPr/>
      </xdr:nvSpPr>
      <xdr:spPr>
        <a:xfrm>
          <a:off x="171450" y="419101"/>
          <a:ext cx="1238249" cy="523874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TOTAL REVENUE</a:t>
          </a:r>
          <a:fld id="{25A68D2A-482F-4096-94AD-47E736E195E1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21,395.79 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304799</xdr:colOff>
      <xdr:row>2</xdr:row>
      <xdr:rowOff>28575</xdr:rowOff>
    </xdr:from>
    <xdr:to>
      <xdr:col>6</xdr:col>
      <xdr:colOff>428624</xdr:colOff>
      <xdr:row>5</xdr:row>
      <xdr:rowOff>9525</xdr:rowOff>
    </xdr:to>
    <xdr:sp macro="" textlink="PIVOTTABLE!B4">
      <xdr:nvSpPr>
        <xdr:cNvPr id="6" name="Rectangle: Rounded Corners 5">
          <a:extLst>
            <a:ext uri="{FF2B5EF4-FFF2-40B4-BE49-F238E27FC236}">
              <a16:creationId xmlns:a16="http://schemas.microsoft.com/office/drawing/2014/main" id="{AC62E696-1DCF-408A-85EF-6D64F81F4DDF}"/>
            </a:ext>
          </a:extLst>
        </xdr:cNvPr>
        <xdr:cNvSpPr/>
      </xdr:nvSpPr>
      <xdr:spPr>
        <a:xfrm>
          <a:off x="2743199" y="409575"/>
          <a:ext cx="1343025" cy="55245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TOTAL UNITS SOLD</a:t>
          </a:r>
        </a:p>
        <a:p>
          <a:pPr algn="ctr"/>
          <a:fld id="{536BC767-6583-4B9E-A93A-23B3B233904E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17,699 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247650</xdr:colOff>
      <xdr:row>2</xdr:row>
      <xdr:rowOff>38100</xdr:rowOff>
    </xdr:from>
    <xdr:to>
      <xdr:col>4</xdr:col>
      <xdr:colOff>247650</xdr:colOff>
      <xdr:row>5</xdr:row>
      <xdr:rowOff>0</xdr:rowOff>
    </xdr:to>
    <xdr:sp macro="" textlink="PIVOTTABLE!B5">
      <xdr:nvSpPr>
        <xdr:cNvPr id="7" name="Rectangle: Rounded Corners 6">
          <a:extLst>
            <a:ext uri="{FF2B5EF4-FFF2-40B4-BE49-F238E27FC236}">
              <a16:creationId xmlns:a16="http://schemas.microsoft.com/office/drawing/2014/main" id="{6107619F-E684-4831-B1D2-DA32B1E5FF08}"/>
            </a:ext>
          </a:extLst>
        </xdr:cNvPr>
        <xdr:cNvSpPr/>
      </xdr:nvSpPr>
      <xdr:spPr>
        <a:xfrm>
          <a:off x="1466850" y="419100"/>
          <a:ext cx="1219200" cy="5334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TOTAL PROFIT</a:t>
          </a:r>
          <a:fld id="{A3BC3A06-B723-4585-8B5E-40AA9D3F432E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9,569.30 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495299</xdr:colOff>
      <xdr:row>2</xdr:row>
      <xdr:rowOff>66674</xdr:rowOff>
    </xdr:from>
    <xdr:to>
      <xdr:col>9</xdr:col>
      <xdr:colOff>466724</xdr:colOff>
      <xdr:row>5</xdr:row>
      <xdr:rowOff>19049</xdr:rowOff>
    </xdr:to>
    <xdr:sp macro="" textlink="PIVOTTABLE!B3">
      <xdr:nvSpPr>
        <xdr:cNvPr id="9" name="Rectangle: Rounded Corners 8">
          <a:extLst>
            <a:ext uri="{FF2B5EF4-FFF2-40B4-BE49-F238E27FC236}">
              <a16:creationId xmlns:a16="http://schemas.microsoft.com/office/drawing/2014/main" id="{43119E48-D549-49CB-B042-5434BB1F0D91}"/>
            </a:ext>
          </a:extLst>
        </xdr:cNvPr>
        <xdr:cNvSpPr/>
      </xdr:nvSpPr>
      <xdr:spPr>
        <a:xfrm>
          <a:off x="4152899" y="447674"/>
          <a:ext cx="1800225" cy="523875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AVERAGE</a:t>
          </a:r>
          <a:r>
            <a:rPr lang="en-US" sz="1100" b="1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PROFIT MARGIN</a:t>
          </a:r>
        </a:p>
        <a:p>
          <a:pPr algn="ctr"/>
          <a:fld id="{07BDE6D5-BDFC-428C-94DE-873E401D4DC5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0.45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114302</xdr:colOff>
      <xdr:row>5</xdr:row>
      <xdr:rowOff>171451</xdr:rowOff>
    </xdr:from>
    <xdr:to>
      <xdr:col>4</xdr:col>
      <xdr:colOff>390526</xdr:colOff>
      <xdr:row>16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05B4944-75A1-4874-B6B3-EC24DA2C3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466725</xdr:colOff>
      <xdr:row>6</xdr:row>
      <xdr:rowOff>9525</xdr:rowOff>
    </xdr:from>
    <xdr:to>
      <xdr:col>9</xdr:col>
      <xdr:colOff>257174</xdr:colOff>
      <xdr:row>16</xdr:row>
      <xdr:rowOff>180974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73999D0-490A-48F1-B60B-0EDDBE31C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114302</xdr:colOff>
      <xdr:row>17</xdr:row>
      <xdr:rowOff>76202</xdr:rowOff>
    </xdr:from>
    <xdr:to>
      <xdr:col>4</xdr:col>
      <xdr:colOff>390526</xdr:colOff>
      <xdr:row>26</xdr:row>
      <xdr:rowOff>57150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AEDA0BA-61A7-4675-A49C-7CFC4568D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447675</xdr:colOff>
      <xdr:row>17</xdr:row>
      <xdr:rowOff>76200</xdr:rowOff>
    </xdr:from>
    <xdr:to>
      <xdr:col>9</xdr:col>
      <xdr:colOff>266700</xdr:colOff>
      <xdr:row>26</xdr:row>
      <xdr:rowOff>47625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631E6FD-5D8A-4E0B-88DD-55B5A48C3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323850</xdr:colOff>
      <xdr:row>17</xdr:row>
      <xdr:rowOff>19049</xdr:rowOff>
    </xdr:from>
    <xdr:to>
      <xdr:col>15</xdr:col>
      <xdr:colOff>133350</xdr:colOff>
      <xdr:row>26</xdr:row>
      <xdr:rowOff>28574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B41AC4D-28E1-4C16-87DC-2D2B45E04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381000</xdr:colOff>
      <xdr:row>7</xdr:row>
      <xdr:rowOff>161925</xdr:rowOff>
    </xdr:from>
    <xdr:to>
      <xdr:col>15</xdr:col>
      <xdr:colOff>114300</xdr:colOff>
      <xdr:row>16</xdr:row>
      <xdr:rowOff>161925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D87F542-BBB4-4F34-9A57-8F5A7387B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485775</xdr:colOff>
      <xdr:row>2</xdr:row>
      <xdr:rowOff>57150</xdr:rowOff>
    </xdr:from>
    <xdr:to>
      <xdr:col>15</xdr:col>
      <xdr:colOff>152400</xdr:colOff>
      <xdr:row>7</xdr:row>
      <xdr:rowOff>133350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1" name="Order_Date">
              <a:extLst>
                <a:ext uri="{FF2B5EF4-FFF2-40B4-BE49-F238E27FC236}">
                  <a16:creationId xmlns:a16="http://schemas.microsoft.com/office/drawing/2014/main" id="{0939249F-B407-47A2-B677-EDD001327F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7975" y="333375"/>
              <a:ext cx="3552825" cy="1133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2</xdr:col>
      <xdr:colOff>171450</xdr:colOff>
      <xdr:row>29</xdr:row>
      <xdr:rowOff>171450</xdr:rowOff>
    </xdr:from>
    <xdr:to>
      <xdr:col>5</xdr:col>
      <xdr:colOff>209550</xdr:colOff>
      <xdr:row>34</xdr:row>
      <xdr:rowOff>133350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204DAAE-B85D-4EF7-9495-4D31D26C029A}"/>
            </a:ext>
          </a:extLst>
        </xdr:cNvPr>
        <xdr:cNvSpPr/>
      </xdr:nvSpPr>
      <xdr:spPr>
        <a:xfrm>
          <a:off x="1543050" y="5695950"/>
          <a:ext cx="2095500" cy="9144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76200</xdr:colOff>
      <xdr:row>30</xdr:row>
      <xdr:rowOff>76199</xdr:rowOff>
    </xdr:from>
    <xdr:to>
      <xdr:col>5</xdr:col>
      <xdr:colOff>142875</xdr:colOff>
      <xdr:row>32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AC7F39-2F4B-427B-9AC5-0AB726A23426}"/>
            </a:ext>
          </a:extLst>
        </xdr:cNvPr>
        <xdr:cNvSpPr txBox="1"/>
      </xdr:nvSpPr>
      <xdr:spPr>
        <a:xfrm>
          <a:off x="2133600" y="5791199"/>
          <a:ext cx="1438275" cy="371476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/>
            <a:t>Total Sales</a:t>
          </a:r>
        </a:p>
      </xdr:txBody>
    </xdr:sp>
    <xdr:clientData/>
  </xdr:twoCellAnchor>
  <xdr:twoCellAnchor>
    <xdr:from>
      <xdr:col>3</xdr:col>
      <xdr:colOff>152399</xdr:colOff>
      <xdr:row>31</xdr:row>
      <xdr:rowOff>123825</xdr:rowOff>
    </xdr:from>
    <xdr:to>
      <xdr:col>5</xdr:col>
      <xdr:colOff>133350</xdr:colOff>
      <xdr:row>34</xdr:row>
      <xdr:rowOff>47624</xdr:rowOff>
    </xdr:to>
    <xdr:sp macro="" textlink="PIVOTTABLE!B2">
      <xdr:nvSpPr>
        <xdr:cNvPr id="8" name="TextBox 7">
          <a:extLst>
            <a:ext uri="{FF2B5EF4-FFF2-40B4-BE49-F238E27FC236}">
              <a16:creationId xmlns:a16="http://schemas.microsoft.com/office/drawing/2014/main" id="{34351D3B-F9DF-4700-80C5-28F043B3CB4C}"/>
            </a:ext>
          </a:extLst>
        </xdr:cNvPr>
        <xdr:cNvSpPr txBox="1"/>
      </xdr:nvSpPr>
      <xdr:spPr>
        <a:xfrm>
          <a:off x="2209799" y="6029325"/>
          <a:ext cx="1352551" cy="495299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BEDB18D-A209-46AA-A68D-CDCD66ADE8FB}" type="TxLink">
            <a:rPr lang="en-US" sz="1800" b="1" i="0" u="none" strike="noStrike">
              <a:solidFill>
                <a:srgbClr val="000000"/>
              </a:solidFill>
              <a:latin typeface="Corbel"/>
            </a:rPr>
            <a:pPr algn="ctr"/>
            <a:t> $21,396 </a:t>
          </a:fld>
          <a:endParaRPr lang="en-US" sz="1800" b="1"/>
        </a:p>
      </xdr:txBody>
    </xdr:sp>
    <xdr:clientData/>
  </xdr:twoCellAnchor>
  <xdr:twoCellAnchor>
    <xdr:from>
      <xdr:col>2</xdr:col>
      <xdr:colOff>238125</xdr:colOff>
      <xdr:row>30</xdr:row>
      <xdr:rowOff>180975</xdr:rowOff>
    </xdr:from>
    <xdr:to>
      <xdr:col>3</xdr:col>
      <xdr:colOff>257175</xdr:colOff>
      <xdr:row>33</xdr:row>
      <xdr:rowOff>123825</xdr:rowOff>
    </xdr:to>
    <xdr:sp macro="" textlink="">
      <xdr:nvSpPr>
        <xdr:cNvPr id="10" name="Multiplication Sign 9">
          <a:extLst>
            <a:ext uri="{FF2B5EF4-FFF2-40B4-BE49-F238E27FC236}">
              <a16:creationId xmlns:a16="http://schemas.microsoft.com/office/drawing/2014/main" id="{47AAB6EA-D8A0-4304-8C15-4DFFC6E90B54}"/>
            </a:ext>
          </a:extLst>
        </xdr:cNvPr>
        <xdr:cNvSpPr/>
      </xdr:nvSpPr>
      <xdr:spPr>
        <a:xfrm>
          <a:off x="1609725" y="5895975"/>
          <a:ext cx="704850" cy="514350"/>
        </a:xfrm>
        <a:prstGeom prst="mathMultiply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13</xdr:col>
      <xdr:colOff>676275</xdr:colOff>
      <xdr:row>3</xdr:row>
      <xdr:rowOff>104775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58005A4-B87E-42CC-8FB2-EEE65357527A}"/>
            </a:ext>
          </a:extLst>
        </xdr:cNvPr>
        <xdr:cNvSpPr/>
      </xdr:nvSpPr>
      <xdr:spPr>
        <a:xfrm>
          <a:off x="590550" y="19050"/>
          <a:ext cx="9686925" cy="657225"/>
        </a:xfrm>
        <a:prstGeom prst="roundRect">
          <a:avLst/>
        </a:prstGeom>
        <a:solidFill>
          <a:srgbClr val="F4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142876</xdr:colOff>
      <xdr:row>4</xdr:row>
      <xdr:rowOff>18454</xdr:rowOff>
    </xdr:from>
    <xdr:to>
      <xdr:col>2</xdr:col>
      <xdr:colOff>371476</xdr:colOff>
      <xdr:row>7</xdr:row>
      <xdr:rowOff>171450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2898BC4-46C4-47A5-9115-B29CD140CEF7}"/>
            </a:ext>
          </a:extLst>
        </xdr:cNvPr>
        <xdr:cNvSpPr/>
      </xdr:nvSpPr>
      <xdr:spPr>
        <a:xfrm>
          <a:off x="828676" y="780454"/>
          <a:ext cx="1600200" cy="724496"/>
        </a:xfrm>
        <a:prstGeom prst="roundRect">
          <a:avLst/>
        </a:prstGeom>
        <a:solidFill>
          <a:srgbClr val="F4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409576</xdr:colOff>
      <xdr:row>4</xdr:row>
      <xdr:rowOff>27384</xdr:rowOff>
    </xdr:from>
    <xdr:to>
      <xdr:col>4</xdr:col>
      <xdr:colOff>638176</xdr:colOff>
      <xdr:row>7</xdr:row>
      <xdr:rowOff>171450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A64637E-F4F9-401E-A3FF-90441A8B56C9}"/>
            </a:ext>
          </a:extLst>
        </xdr:cNvPr>
        <xdr:cNvSpPr/>
      </xdr:nvSpPr>
      <xdr:spPr>
        <a:xfrm>
          <a:off x="2466976" y="789384"/>
          <a:ext cx="1600200" cy="715566"/>
        </a:xfrm>
        <a:prstGeom prst="roundRect">
          <a:avLst/>
        </a:prstGeom>
        <a:solidFill>
          <a:srgbClr val="F4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</xdr:colOff>
      <xdr:row>4</xdr:row>
      <xdr:rowOff>26789</xdr:rowOff>
    </xdr:from>
    <xdr:to>
      <xdr:col>7</xdr:col>
      <xdr:colOff>228601</xdr:colOff>
      <xdr:row>7</xdr:row>
      <xdr:rowOff>171450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2740D8D-DF2C-47B2-8E6D-5D4B553E90C8}"/>
            </a:ext>
          </a:extLst>
        </xdr:cNvPr>
        <xdr:cNvSpPr/>
      </xdr:nvSpPr>
      <xdr:spPr>
        <a:xfrm>
          <a:off x="4114801" y="788789"/>
          <a:ext cx="1600200" cy="716161"/>
        </a:xfrm>
        <a:prstGeom prst="roundRect">
          <a:avLst/>
        </a:prstGeom>
        <a:solidFill>
          <a:srgbClr val="F4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276226</xdr:colOff>
      <xdr:row>4</xdr:row>
      <xdr:rowOff>35718</xdr:rowOff>
    </xdr:from>
    <xdr:to>
      <xdr:col>9</xdr:col>
      <xdr:colOff>504826</xdr:colOff>
      <xdr:row>8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6287CDA-96A1-478C-8F68-80F29F86284C}"/>
            </a:ext>
          </a:extLst>
        </xdr:cNvPr>
        <xdr:cNvSpPr/>
      </xdr:nvSpPr>
      <xdr:spPr>
        <a:xfrm>
          <a:off x="5762626" y="797718"/>
          <a:ext cx="1600200" cy="726282"/>
        </a:xfrm>
        <a:prstGeom prst="roundRect">
          <a:avLst/>
        </a:prstGeom>
        <a:solidFill>
          <a:srgbClr val="F4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19050</xdr:rowOff>
    </xdr:from>
    <xdr:to>
      <xdr:col>0</xdr:col>
      <xdr:colOff>85724</xdr:colOff>
      <xdr:row>28</xdr:row>
      <xdr:rowOff>142876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7912D9C-CB29-4600-BBBD-23F2FE013B8A}"/>
            </a:ext>
          </a:extLst>
        </xdr:cNvPr>
        <xdr:cNvSpPr/>
      </xdr:nvSpPr>
      <xdr:spPr>
        <a:xfrm>
          <a:off x="0" y="19050"/>
          <a:ext cx="771524" cy="5457826"/>
        </a:xfrm>
        <a:prstGeom prst="rect">
          <a:avLst/>
        </a:prstGeom>
        <a:solidFill>
          <a:srgbClr val="F4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161925</xdr:colOff>
      <xdr:row>11</xdr:row>
      <xdr:rowOff>142874</xdr:rowOff>
    </xdr:from>
    <xdr:ext cx="1362075" cy="216935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61EDA51-9A14-457D-BBEE-DD568A093905}"/>
            </a:ext>
          </a:extLst>
        </xdr:cNvPr>
        <xdr:cNvSpPr txBox="1"/>
      </xdr:nvSpPr>
      <xdr:spPr>
        <a:xfrm>
          <a:off x="2219325" y="2238374"/>
          <a:ext cx="1362075" cy="2169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314325</xdr:colOff>
      <xdr:row>14</xdr:row>
      <xdr:rowOff>76199</xdr:rowOff>
    </xdr:from>
    <xdr:ext cx="1362075" cy="216935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C70434C-387E-4B50-9EF5-079245EC76E9}"/>
            </a:ext>
          </a:extLst>
        </xdr:cNvPr>
        <xdr:cNvSpPr txBox="1"/>
      </xdr:nvSpPr>
      <xdr:spPr>
        <a:xfrm>
          <a:off x="2371725" y="2743199"/>
          <a:ext cx="1362075" cy="2169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257175</xdr:colOff>
      <xdr:row>4</xdr:row>
      <xdr:rowOff>85724</xdr:rowOff>
    </xdr:from>
    <xdr:ext cx="1362075" cy="280205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36DD691-068C-4546-BFAD-C3EDDF98A4A9}"/>
            </a:ext>
          </a:extLst>
        </xdr:cNvPr>
        <xdr:cNvSpPr txBox="1"/>
      </xdr:nvSpPr>
      <xdr:spPr>
        <a:xfrm>
          <a:off x="942975" y="847724"/>
          <a:ext cx="1362075" cy="280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>
              <a:solidFill>
                <a:schemeClr val="bg1"/>
              </a:solidFill>
            </a:rPr>
            <a:t>TOTAL REVENUE</a:t>
          </a:r>
        </a:p>
      </xdr:txBody>
    </xdr:sp>
    <xdr:clientData/>
  </xdr:oneCellAnchor>
  <xdr:oneCellAnchor>
    <xdr:from>
      <xdr:col>2</xdr:col>
      <xdr:colOff>428625</xdr:colOff>
      <xdr:row>5</xdr:row>
      <xdr:rowOff>123825</xdr:rowOff>
    </xdr:from>
    <xdr:ext cx="1257300" cy="321710"/>
    <xdr:sp macro="" textlink="profit">
      <xdr:nvSpPr>
        <xdr:cNvPr id="21" name="TextBox 20">
          <a:extLst>
            <a:ext uri="{FF2B5EF4-FFF2-40B4-BE49-F238E27FC236}">
              <a16:creationId xmlns:a16="http://schemas.microsoft.com/office/drawing/2014/main" id="{F84D3DE0-F951-4EE5-ADC5-2639F95D32BA}"/>
            </a:ext>
          </a:extLst>
        </xdr:cNvPr>
        <xdr:cNvSpPr txBox="1"/>
      </xdr:nvSpPr>
      <xdr:spPr>
        <a:xfrm>
          <a:off x="2486025" y="1076325"/>
          <a:ext cx="1257300" cy="321710"/>
        </a:xfrm>
        <a:prstGeom prst="rect">
          <a:avLst/>
        </a:prstGeom>
        <a:solidFill>
          <a:srgbClr val="F4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92FF5BBF-A883-457E-B269-FA87F8EDA436}" type="TxLink">
            <a:rPr lang="en-US" sz="1800" b="1" i="0" u="none" strike="noStrike">
              <a:solidFill>
                <a:schemeClr val="bg1"/>
              </a:solidFill>
              <a:latin typeface="Corbel"/>
              <a:ea typeface="+mn-ea"/>
              <a:cs typeface="+mn-cs"/>
            </a:rPr>
            <a:pPr marL="0" indent="0" algn="ctr"/>
            <a:t> $9,569 </a:t>
          </a:fld>
          <a:endParaRPr lang="en-US" sz="1800" b="1" i="0" u="none" strike="noStrike">
            <a:solidFill>
              <a:schemeClr val="bg1"/>
            </a:solidFill>
            <a:latin typeface="Corbel"/>
            <a:ea typeface="+mn-ea"/>
            <a:cs typeface="+mn-cs"/>
          </a:endParaRPr>
        </a:p>
      </xdr:txBody>
    </xdr:sp>
    <xdr:clientData/>
  </xdr:oneCellAnchor>
  <xdr:twoCellAnchor>
    <xdr:from>
      <xdr:col>0</xdr:col>
      <xdr:colOff>323849</xdr:colOff>
      <xdr:row>5</xdr:row>
      <xdr:rowOff>104775</xdr:rowOff>
    </xdr:from>
    <xdr:to>
      <xdr:col>2</xdr:col>
      <xdr:colOff>266700</xdr:colOff>
      <xdr:row>7</xdr:row>
      <xdr:rowOff>57150</xdr:rowOff>
    </xdr:to>
    <xdr:sp macro="" textlink="revenue">
      <xdr:nvSpPr>
        <xdr:cNvPr id="22" name="TextBox 21">
          <a:extLst>
            <a:ext uri="{FF2B5EF4-FFF2-40B4-BE49-F238E27FC236}">
              <a16:creationId xmlns:a16="http://schemas.microsoft.com/office/drawing/2014/main" id="{35D72AD3-705C-41B7-9D30-6C148E578F56}"/>
            </a:ext>
          </a:extLst>
        </xdr:cNvPr>
        <xdr:cNvSpPr txBox="1"/>
      </xdr:nvSpPr>
      <xdr:spPr>
        <a:xfrm>
          <a:off x="1009649" y="1057275"/>
          <a:ext cx="1314451" cy="333375"/>
        </a:xfrm>
        <a:prstGeom prst="rect">
          <a:avLst/>
        </a:prstGeom>
        <a:solidFill>
          <a:srgbClr val="F4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CE20F03-CF46-46DF-8D12-B49BDDE50BCB}" type="TxLink">
            <a:rPr lang="en-US" sz="1800" b="1" i="0" u="none" strike="noStrike">
              <a:solidFill>
                <a:schemeClr val="bg1"/>
              </a:solidFill>
              <a:latin typeface="Corbel"/>
            </a:rPr>
            <a:pPr algn="ctr"/>
            <a:t> $21,396 </a:t>
          </a:fld>
          <a:endParaRPr lang="en-US" sz="1800" b="1">
            <a:solidFill>
              <a:schemeClr val="bg1"/>
            </a:solidFill>
          </a:endParaRPr>
        </a:p>
      </xdr:txBody>
    </xdr:sp>
    <xdr:clientData/>
  </xdr:twoCellAnchor>
  <xdr:oneCellAnchor>
    <xdr:from>
      <xdr:col>2</xdr:col>
      <xdr:colOff>466726</xdr:colOff>
      <xdr:row>4</xdr:row>
      <xdr:rowOff>103584</xdr:rowOff>
    </xdr:from>
    <xdr:ext cx="1438276" cy="280205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B35471F-362B-4FBC-84A0-92EC32762797}"/>
            </a:ext>
          </a:extLst>
        </xdr:cNvPr>
        <xdr:cNvSpPr txBox="1"/>
      </xdr:nvSpPr>
      <xdr:spPr>
        <a:xfrm>
          <a:off x="2524126" y="865584"/>
          <a:ext cx="1438276" cy="2802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TOTAL PROFIT</a:t>
          </a:r>
        </a:p>
      </xdr:txBody>
    </xdr:sp>
    <xdr:clientData/>
  </xdr:oneCellAnchor>
  <xdr:oneCellAnchor>
    <xdr:from>
      <xdr:col>2</xdr:col>
      <xdr:colOff>314325</xdr:colOff>
      <xdr:row>12</xdr:row>
      <xdr:rowOff>104774</xdr:rowOff>
    </xdr:from>
    <xdr:ext cx="1362075" cy="216935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8B860A9-2060-4FB9-8754-2E12AC6CDBD7}"/>
            </a:ext>
          </a:extLst>
        </xdr:cNvPr>
        <xdr:cNvSpPr txBox="1"/>
      </xdr:nvSpPr>
      <xdr:spPr>
        <a:xfrm>
          <a:off x="2371725" y="2390774"/>
          <a:ext cx="1362075" cy="2169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66676</xdr:colOff>
      <xdr:row>4</xdr:row>
      <xdr:rowOff>83939</xdr:rowOff>
    </xdr:from>
    <xdr:ext cx="1438276" cy="280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DC43D91-28C7-4F1A-AF29-F1C64F64DB99}"/>
            </a:ext>
          </a:extLst>
        </xdr:cNvPr>
        <xdr:cNvSpPr txBox="1"/>
      </xdr:nvSpPr>
      <xdr:spPr>
        <a:xfrm>
          <a:off x="4181476" y="845939"/>
          <a:ext cx="1438276" cy="280205"/>
        </a:xfrm>
        <a:prstGeom prst="rect">
          <a:avLst/>
        </a:prstGeom>
        <a:solidFill>
          <a:srgbClr val="F4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UNITS SOLD</a:t>
          </a:r>
        </a:p>
      </xdr:txBody>
    </xdr:sp>
    <xdr:clientData/>
  </xdr:oneCellAnchor>
  <xdr:oneCellAnchor>
    <xdr:from>
      <xdr:col>5</xdr:col>
      <xdr:colOff>28575</xdr:colOff>
      <xdr:row>5</xdr:row>
      <xdr:rowOff>104775</xdr:rowOff>
    </xdr:from>
    <xdr:ext cx="1257300" cy="400049"/>
    <xdr:sp macro="" textlink="units">
      <xdr:nvSpPr>
        <xdr:cNvPr id="27" name="TextBox 26">
          <a:extLst>
            <a:ext uri="{FF2B5EF4-FFF2-40B4-BE49-F238E27FC236}">
              <a16:creationId xmlns:a16="http://schemas.microsoft.com/office/drawing/2014/main" id="{BCD9272C-4858-4F49-883F-640FFEF22A3A}"/>
            </a:ext>
          </a:extLst>
        </xdr:cNvPr>
        <xdr:cNvSpPr txBox="1"/>
      </xdr:nvSpPr>
      <xdr:spPr>
        <a:xfrm>
          <a:off x="4143375" y="1057275"/>
          <a:ext cx="1257300" cy="400049"/>
        </a:xfrm>
        <a:prstGeom prst="rect">
          <a:avLst/>
        </a:prstGeom>
        <a:solidFill>
          <a:srgbClr val="F4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430C955C-C2E8-465C-B48C-F0E12BB31127}" type="TxLink">
            <a:rPr lang="en-US" sz="1800" b="1" i="0" u="none" strike="noStrike">
              <a:solidFill>
                <a:schemeClr val="bg1"/>
              </a:solidFill>
              <a:latin typeface="Corbel"/>
              <a:ea typeface="+mn-ea"/>
              <a:cs typeface="+mn-cs"/>
            </a:rPr>
            <a:pPr marL="0" indent="0" algn="ctr"/>
            <a:t> 17,699 </a:t>
          </a:fld>
          <a:endParaRPr lang="en-US" sz="1800" b="1" i="0" u="none" strike="noStrike">
            <a:solidFill>
              <a:schemeClr val="bg1"/>
            </a:solidFill>
            <a:latin typeface="Corbel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323851</xdr:colOff>
      <xdr:row>4</xdr:row>
      <xdr:rowOff>112514</xdr:rowOff>
    </xdr:from>
    <xdr:ext cx="1438276" cy="280205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A54AB35-A458-4ED6-9C09-B38A2866F376}"/>
            </a:ext>
          </a:extLst>
        </xdr:cNvPr>
        <xdr:cNvSpPr txBox="1"/>
      </xdr:nvSpPr>
      <xdr:spPr>
        <a:xfrm>
          <a:off x="5810251" y="874514"/>
          <a:ext cx="1438276" cy="280205"/>
        </a:xfrm>
        <a:prstGeom prst="rect">
          <a:avLst/>
        </a:prstGeom>
        <a:solidFill>
          <a:srgbClr val="F4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PROFIT MARGIN</a:t>
          </a:r>
        </a:p>
      </xdr:txBody>
    </xdr:sp>
    <xdr:clientData/>
  </xdr:oneCellAnchor>
  <xdr:oneCellAnchor>
    <xdr:from>
      <xdr:col>7</xdr:col>
      <xdr:colOff>314325</xdr:colOff>
      <xdr:row>5</xdr:row>
      <xdr:rowOff>123826</xdr:rowOff>
    </xdr:from>
    <xdr:ext cx="1257302" cy="333374"/>
    <xdr:sp macro="" textlink="pmargin">
      <xdr:nvSpPr>
        <xdr:cNvPr id="29" name="TextBox 28">
          <a:extLst>
            <a:ext uri="{FF2B5EF4-FFF2-40B4-BE49-F238E27FC236}">
              <a16:creationId xmlns:a16="http://schemas.microsoft.com/office/drawing/2014/main" id="{DE9D10BA-2819-4797-9CBC-69E6D2740202}"/>
            </a:ext>
          </a:extLst>
        </xdr:cNvPr>
        <xdr:cNvSpPr txBox="1"/>
      </xdr:nvSpPr>
      <xdr:spPr>
        <a:xfrm>
          <a:off x="5800725" y="1076326"/>
          <a:ext cx="1257302" cy="333374"/>
        </a:xfrm>
        <a:prstGeom prst="rect">
          <a:avLst/>
        </a:prstGeom>
        <a:solidFill>
          <a:srgbClr val="F4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CD9C9F2A-C1A6-4AC7-B81B-AAEC391BA3B9}" type="TxLink">
            <a:rPr lang="en-US" sz="1800" b="1" i="0" u="none" strike="noStrike">
              <a:solidFill>
                <a:schemeClr val="bg1"/>
              </a:solidFill>
              <a:latin typeface="Corbel"/>
              <a:ea typeface="+mn-ea"/>
              <a:cs typeface="+mn-cs"/>
            </a:rPr>
            <a:pPr marL="0" indent="0" algn="ctr"/>
            <a:t>45%</a:t>
          </a:fld>
          <a:endParaRPr lang="en-US" sz="1800" b="1" i="0" u="none" strike="noStrike">
            <a:solidFill>
              <a:schemeClr val="bg1"/>
            </a:solidFill>
            <a:latin typeface="Corbel"/>
            <a:ea typeface="+mn-ea"/>
            <a:cs typeface="+mn-cs"/>
          </a:endParaRPr>
        </a:p>
      </xdr:txBody>
    </xdr:sp>
    <xdr:clientData/>
  </xdr:oneCellAnchor>
  <xdr:twoCellAnchor>
    <xdr:from>
      <xdr:col>0</xdr:col>
      <xdr:colOff>114300</xdr:colOff>
      <xdr:row>8</xdr:row>
      <xdr:rowOff>19051</xdr:rowOff>
    </xdr:from>
    <xdr:to>
      <xdr:col>4</xdr:col>
      <xdr:colOff>480060</xdr:colOff>
      <xdr:row>18</xdr:row>
      <xdr:rowOff>34291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FD480F99-8822-41FB-A894-5DE0B89E97BA}"/>
            </a:ext>
          </a:extLst>
        </xdr:cNvPr>
        <xdr:cNvSpPr/>
      </xdr:nvSpPr>
      <xdr:spPr>
        <a:xfrm>
          <a:off x="800100" y="1543051"/>
          <a:ext cx="3108960" cy="1920240"/>
        </a:xfrm>
        <a:prstGeom prst="roundRect">
          <a:avLst/>
        </a:prstGeom>
        <a:solidFill>
          <a:srgbClr val="F4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514349</xdr:colOff>
      <xdr:row>8</xdr:row>
      <xdr:rowOff>28575</xdr:rowOff>
    </xdr:from>
    <xdr:to>
      <xdr:col>9</xdr:col>
      <xdr:colOff>295274</xdr:colOff>
      <xdr:row>18</xdr:row>
      <xdr:rowOff>43815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0A6A4B03-6558-49E0-92ED-9FCA3A4C9F77}"/>
            </a:ext>
          </a:extLst>
        </xdr:cNvPr>
        <xdr:cNvSpPr/>
      </xdr:nvSpPr>
      <xdr:spPr>
        <a:xfrm>
          <a:off x="3943349" y="1552575"/>
          <a:ext cx="3209925" cy="1920240"/>
        </a:xfrm>
        <a:prstGeom prst="roundRect">
          <a:avLst/>
        </a:prstGeom>
        <a:solidFill>
          <a:srgbClr val="F4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323850</xdr:colOff>
      <xdr:row>18</xdr:row>
      <xdr:rowOff>95250</xdr:rowOff>
    </xdr:from>
    <xdr:to>
      <xdr:col>14</xdr:col>
      <xdr:colOff>3810</xdr:colOff>
      <xdr:row>28</xdr:row>
      <xdr:rowOff>110490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3A881C0D-DC0C-43EB-9307-928444659A70}"/>
            </a:ext>
          </a:extLst>
        </xdr:cNvPr>
        <xdr:cNvSpPr/>
      </xdr:nvSpPr>
      <xdr:spPr>
        <a:xfrm>
          <a:off x="7181850" y="3524250"/>
          <a:ext cx="3108960" cy="1920240"/>
        </a:xfrm>
        <a:prstGeom prst="roundRect">
          <a:avLst/>
        </a:prstGeom>
        <a:solidFill>
          <a:srgbClr val="F4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561975</xdr:colOff>
      <xdr:row>18</xdr:row>
      <xdr:rowOff>95250</xdr:rowOff>
    </xdr:from>
    <xdr:to>
      <xdr:col>9</xdr:col>
      <xdr:colOff>241935</xdr:colOff>
      <xdr:row>28</xdr:row>
      <xdr:rowOff>110490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4801D681-8E7A-48A7-8DC7-7F569259D6C6}"/>
            </a:ext>
          </a:extLst>
        </xdr:cNvPr>
        <xdr:cNvSpPr/>
      </xdr:nvSpPr>
      <xdr:spPr>
        <a:xfrm>
          <a:off x="3990975" y="3524250"/>
          <a:ext cx="3108960" cy="1920240"/>
        </a:xfrm>
        <a:prstGeom prst="roundRect">
          <a:avLst/>
        </a:prstGeom>
        <a:solidFill>
          <a:srgbClr val="F4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95250</xdr:colOff>
      <xdr:row>18</xdr:row>
      <xdr:rowOff>104775</xdr:rowOff>
    </xdr:from>
    <xdr:to>
      <xdr:col>4</xdr:col>
      <xdr:colOff>461010</xdr:colOff>
      <xdr:row>28</xdr:row>
      <xdr:rowOff>120015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D1FEC1CA-4CD7-4F66-B0D3-D353CEE00478}"/>
            </a:ext>
          </a:extLst>
        </xdr:cNvPr>
        <xdr:cNvSpPr/>
      </xdr:nvSpPr>
      <xdr:spPr>
        <a:xfrm>
          <a:off x="95250" y="3533775"/>
          <a:ext cx="3108960" cy="1920240"/>
        </a:xfrm>
        <a:prstGeom prst="roundRect">
          <a:avLst/>
        </a:prstGeom>
        <a:solidFill>
          <a:srgbClr val="F4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352424</xdr:colOff>
      <xdr:row>8</xdr:row>
      <xdr:rowOff>47626</xdr:rowOff>
    </xdr:from>
    <xdr:to>
      <xdr:col>13</xdr:col>
      <xdr:colOff>670559</xdr:colOff>
      <xdr:row>18</xdr:row>
      <xdr:rowOff>62866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39D31DAD-AEB5-43D6-8647-6BAE0A193F6D}"/>
            </a:ext>
          </a:extLst>
        </xdr:cNvPr>
        <xdr:cNvSpPr/>
      </xdr:nvSpPr>
      <xdr:spPr>
        <a:xfrm>
          <a:off x="7210424" y="1571626"/>
          <a:ext cx="3061335" cy="1920240"/>
        </a:xfrm>
        <a:prstGeom prst="roundRect">
          <a:avLst/>
        </a:prstGeom>
        <a:solidFill>
          <a:srgbClr val="F4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219074</xdr:colOff>
      <xdr:row>8</xdr:row>
      <xdr:rowOff>114300</xdr:rowOff>
    </xdr:from>
    <xdr:to>
      <xdr:col>4</xdr:col>
      <xdr:colOff>390523</xdr:colOff>
      <xdr:row>17</xdr:row>
      <xdr:rowOff>114300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2D33F0CD-2795-4401-8785-79039FA29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609600</xdr:colOff>
      <xdr:row>8</xdr:row>
      <xdr:rowOff>123825</xdr:rowOff>
    </xdr:from>
    <xdr:to>
      <xdr:col>9</xdr:col>
      <xdr:colOff>190500</xdr:colOff>
      <xdr:row>17</xdr:row>
      <xdr:rowOff>133350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E6E86283-8B16-4E1B-8948-1F3556D17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438149</xdr:colOff>
      <xdr:row>8</xdr:row>
      <xdr:rowOff>152401</xdr:rowOff>
    </xdr:from>
    <xdr:to>
      <xdr:col>13</xdr:col>
      <xdr:colOff>581025</xdr:colOff>
      <xdr:row>17</xdr:row>
      <xdr:rowOff>152401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547BDA2D-EC7F-4F30-AAE3-AB22D2400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371475</xdr:colOff>
      <xdr:row>19</xdr:row>
      <xdr:rowOff>66676</xdr:rowOff>
    </xdr:from>
    <xdr:to>
      <xdr:col>13</xdr:col>
      <xdr:colOff>638175</xdr:colOff>
      <xdr:row>27</xdr:row>
      <xdr:rowOff>142876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6F782AB2-FB8A-43A3-8E0E-DE2A926F9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219074</xdr:colOff>
      <xdr:row>18</xdr:row>
      <xdr:rowOff>180975</xdr:rowOff>
    </xdr:from>
    <xdr:to>
      <xdr:col>4</xdr:col>
      <xdr:colOff>371473</xdr:colOff>
      <xdr:row>28</xdr:row>
      <xdr:rowOff>38099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858999B5-F454-415B-932C-6EDE87104B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666751</xdr:colOff>
      <xdr:row>19</xdr:row>
      <xdr:rowOff>9525</xdr:rowOff>
    </xdr:from>
    <xdr:to>
      <xdr:col>9</xdr:col>
      <xdr:colOff>152401</xdr:colOff>
      <xdr:row>27</xdr:row>
      <xdr:rowOff>171450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86CD6C1-61F4-40EF-97F3-C94B612C0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219074</xdr:colOff>
      <xdr:row>0</xdr:row>
      <xdr:rowOff>47625</xdr:rowOff>
    </xdr:from>
    <xdr:to>
      <xdr:col>13</xdr:col>
      <xdr:colOff>552449</xdr:colOff>
      <xdr:row>3</xdr:row>
      <xdr:rowOff>47625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DE0A14CD-7FDB-4642-876B-4BF7979D5879}"/>
            </a:ext>
          </a:extLst>
        </xdr:cNvPr>
        <xdr:cNvSpPr txBox="1">
          <a:spLocks noChangeArrowheads="1"/>
        </xdr:cNvSpPr>
      </xdr:nvSpPr>
      <xdr:spPr bwMode="auto">
        <a:xfrm>
          <a:off x="1590674" y="47625"/>
          <a:ext cx="7877175" cy="571500"/>
        </a:xfrm>
        <a:prstGeom prst="rect">
          <a:avLst/>
        </a:prstGeom>
        <a:solidFill>
          <a:srgbClr val="F40000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0">
            <a:defRPr sz="1000"/>
          </a:pPr>
          <a:r>
            <a:rPr lang="en-US" sz="2800" b="1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COCA-COLA SALES DASHBOARD Q1 2026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0</xdr:rowOff>
    </xdr:from>
    <xdr:to>
      <xdr:col>2</xdr:col>
      <xdr:colOff>619125</xdr:colOff>
      <xdr:row>3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1B6B07-99C3-4F4C-9010-4FE782D64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0"/>
          <a:ext cx="1952625" cy="647700"/>
        </a:xfrm>
        <a:prstGeom prst="rect">
          <a:avLst/>
        </a:prstGeom>
      </xdr:spPr>
    </xdr:pic>
    <xdr:clientData/>
  </xdr:twoCellAnchor>
  <xdr:twoCellAnchor editAs="oneCell">
    <xdr:from>
      <xdr:col>9</xdr:col>
      <xdr:colOff>542925</xdr:colOff>
      <xdr:row>3</xdr:row>
      <xdr:rowOff>19050</xdr:rowOff>
    </xdr:from>
    <xdr:to>
      <xdr:col>13</xdr:col>
      <xdr:colOff>666750</xdr:colOff>
      <xdr:row>8</xdr:row>
      <xdr:rowOff>85725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5" name="Order_Date 1">
              <a:extLst>
                <a:ext uri="{FF2B5EF4-FFF2-40B4-BE49-F238E27FC236}">
                  <a16:creationId xmlns:a16="http://schemas.microsoft.com/office/drawing/2014/main" id="{AF18B7A8-D438-4F53-A7A2-05705894B7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6139" y="590550"/>
              <a:ext cx="2845254" cy="1019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ine omondi" refreshedDate="46127.660882060183" createdVersion="6" refreshedVersion="6" minRefreshableVersion="3" recordCount="120" xr:uid="{BCE480C2-3D5D-42E3-9989-7C9419F577B6}">
  <cacheSource type="worksheet">
    <worksheetSource name="Table1"/>
  </cacheSource>
  <cacheFields count="17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5-03-31T00:00:00" count="69">
        <d v="2025-03-06T00:00:00"/>
        <d v="2025-01-31T00:00:00"/>
        <d v="2025-02-14T00:00:00"/>
        <d v="2025-02-19T00:00:00"/>
        <d v="2025-01-29T00:00:00"/>
        <d v="2025-01-14T00:00:00"/>
        <d v="2025-01-22T00:00:00"/>
        <d v="2025-01-26T00:00:00"/>
        <d v="2025-01-27T00:00:00"/>
        <d v="2025-01-01T00:00:00"/>
        <d v="2025-02-24T00:00:00"/>
        <d v="2025-01-12T00:00:00"/>
        <d v="2025-03-23T00:00:00"/>
        <d v="2025-01-18T00:00:00"/>
        <d v="2025-03-09T00:00:00"/>
        <d v="2025-03-11T00:00:00"/>
        <d v="2025-03-08T00:00:00"/>
        <d v="2025-02-06T00:00:00"/>
        <d v="2025-01-15T00:00:00"/>
        <d v="2025-01-23T00:00:00"/>
        <d v="2025-01-20T00:00:00"/>
        <d v="2025-01-16T00:00:00"/>
        <d v="2025-01-13T00:00:00"/>
        <d v="2025-01-04T00:00:00"/>
        <d v="2025-03-20T00:00:00"/>
        <d v="2025-03-05T00:00:00"/>
        <d v="2025-02-02T00:00:00"/>
        <d v="2025-02-27T00:00:00"/>
        <d v="2025-03-21T00:00:00"/>
        <d v="2025-03-24T00:00:00"/>
        <d v="2025-01-24T00:00:00"/>
        <d v="2025-03-04T00:00:00"/>
        <d v="2025-02-18T00:00:00"/>
        <d v="2025-03-14T00:00:00"/>
        <d v="2025-01-08T00:00:00"/>
        <d v="2025-03-18T00:00:00"/>
        <d v="2025-02-13T00:00:00"/>
        <d v="2025-01-07T00:00:00"/>
        <d v="2025-02-12T00:00:00"/>
        <d v="2025-03-30T00:00:00"/>
        <d v="2025-03-15T00:00:00"/>
        <d v="2025-02-17T00:00:00"/>
        <d v="2025-02-16T00:00:00"/>
        <d v="2025-02-20T00:00:00"/>
        <d v="2025-02-07T00:00:00"/>
        <d v="2025-03-02T00:00:00"/>
        <d v="2025-02-22T00:00:00"/>
        <d v="2025-01-10T00:00:00"/>
        <d v="2025-02-08T00:00:00"/>
        <d v="2025-01-03T00:00:00"/>
        <d v="2025-03-01T00:00:00"/>
        <d v="2025-01-30T00:00:00"/>
        <d v="2025-01-25T00:00:00"/>
        <d v="2025-03-22T00:00:00"/>
        <d v="2025-03-03T00:00:00"/>
        <d v="2025-02-05T00:00:00"/>
        <d v="2025-01-06T00:00:00"/>
        <d v="2025-03-26T00:00:00"/>
        <d v="2025-02-26T00:00:00"/>
        <d v="2025-02-10T00:00:00"/>
        <d v="2025-02-23T00:00:00"/>
        <d v="2025-03-19T00:00:00"/>
        <d v="2025-02-28T00:00:00"/>
        <d v="2025-03-17T00:00:00"/>
        <d v="2025-02-04T00:00:00"/>
        <d v="2025-01-09T00:00:00"/>
        <d v="2025-02-01T00:00:00"/>
        <d v="2025-01-11T00:00:00"/>
        <d v="2025-01-05T00:00:00"/>
      </sharedItems>
      <fieldGroup par="16" base="1">
        <rangePr groupBy="days" startDate="2025-01-01T00:00:00" endDate="2025-03-3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1/2025"/>
        </groupItems>
      </fieldGroup>
    </cacheField>
    <cacheField name="Region" numFmtId="0">
      <sharedItems count="3">
        <s v="Europe"/>
        <s v="Africa"/>
        <s v="Asia"/>
      </sharedItems>
    </cacheField>
    <cacheField name="Country" numFmtId="0">
      <sharedItems count="6">
        <s v="Germany"/>
        <s v="Nigeria"/>
        <s v="UAE"/>
        <s v="Kenya"/>
        <s v="India"/>
        <s v="UK"/>
      </sharedItems>
    </cacheField>
    <cacheField name="City" numFmtId="0">
      <sharedItems/>
    </cacheField>
    <cacheField name="Product_Category" numFmtId="0">
      <sharedItems count="3">
        <s v="Soda"/>
        <s v="Juice"/>
        <s v="Water"/>
      </sharedItems>
    </cacheField>
    <cacheField name="Product_Name" numFmtId="0">
      <sharedItems count="8">
        <s v="Coca-Cola 500ml"/>
        <s v="Minute Maid Apple"/>
        <s v="Minute Maid Orange"/>
        <s v="Minute Maid Mango"/>
        <s v="Coca-Cola 1L"/>
        <s v="Dasani 1L"/>
        <s v="Fanta Orange"/>
        <s v="Dasani 500ml"/>
      </sharedItems>
    </cacheField>
    <cacheField name="Sales_Rep" numFmtId="0">
      <sharedItems/>
    </cacheField>
    <cacheField name="Units_Sold" numFmtId="0">
      <sharedItems containsSemiMixedTypes="0" containsString="0" containsNumber="1" containsInteger="1" minValue="50" maxValue="248"/>
    </cacheField>
    <cacheField name="Unit_Price" numFmtId="0">
      <sharedItems containsSemiMixedTypes="0" containsString="0" containsNumber="1" minValue="0.8" maxValue="1.6"/>
    </cacheField>
    <cacheField name="Total_Revenue" numFmtId="2">
      <sharedItems containsSemiMixedTypes="0" containsString="0" containsNumber="1" minValue="53.940000000000005" maxValue="383.94"/>
    </cacheField>
    <cacheField name="Sales_Channel" numFmtId="0">
      <sharedItems count="5">
        <s v="Retail"/>
        <s v="Distributor"/>
        <s v="Online"/>
        <s v="Retail " u="1"/>
        <s v="Distributor " u="1"/>
      </sharedItems>
    </cacheField>
    <cacheField name="Cost_Per_Unit" numFmtId="2">
      <sharedItems containsSemiMixedTypes="0" containsString="0" containsNumber="1" minValue="0.34" maxValue="1.1100000000000001"/>
    </cacheField>
    <cacheField name="Total_Cost" numFmtId="2">
      <sharedItems containsSemiMixedTypes="0" containsString="0" containsNumber="1" minValue="29.52" maxValue="212.01000000000002"/>
    </cacheField>
    <cacheField name="Profit" numFmtId="0">
      <sharedItems containsSemiMixedTypes="0" containsString="0" containsNumber="1" minValue="21.46" maxValue="187.06"/>
    </cacheField>
    <cacheField name="Profit_Margin" numFmtId="165">
      <sharedItems containsSemiMixedTypes="0" containsString="0" containsNumber="1" minValue="0.30188679245283023" maxValue="0.5950413223140496"/>
    </cacheField>
    <cacheField name="Months" numFmtId="0" databaseField="0">
      <fieldGroup base="1">
        <rangePr groupBy="months" startDate="2025-01-01T00:00:00" endDate="2025-03-3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25"/>
        </groupItems>
      </fieldGroup>
    </cacheField>
  </cacheFields>
  <extLst>
    <ext xmlns:x14="http://schemas.microsoft.com/office/spreadsheetml/2009/9/main" uri="{725AE2AE-9491-48be-B2B4-4EB974FC3084}">
      <x14:pivotCacheDefinition pivotCacheId="18880565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ORD001"/>
    <x v="0"/>
    <x v="0"/>
    <x v="0"/>
    <s v="Berlin"/>
    <x v="0"/>
    <x v="0"/>
    <s v="John Smith"/>
    <n v="187"/>
    <n v="0.84"/>
    <n v="157.07999999999998"/>
    <x v="0"/>
    <n v="0.56000000000000005"/>
    <n v="104.72000000000001"/>
    <n v="52.36"/>
    <n v="0.33333333333333337"/>
  </r>
  <r>
    <s v="ORD002"/>
    <x v="1"/>
    <x v="1"/>
    <x v="1"/>
    <s v="Lagos"/>
    <x v="1"/>
    <x v="1"/>
    <s v="Anita Njeri"/>
    <n v="244"/>
    <n v="1.1599999999999999"/>
    <n v="283.03999999999996"/>
    <x v="1"/>
    <n v="0.5"/>
    <n v="122"/>
    <n v="161.04"/>
    <n v="0.56896551724137934"/>
  </r>
  <r>
    <s v="ORD003"/>
    <x v="2"/>
    <x v="2"/>
    <x v="2"/>
    <s v="Dubai"/>
    <x v="1"/>
    <x v="2"/>
    <s v="Brian Otieno"/>
    <n v="65"/>
    <n v="1.07"/>
    <n v="69.55"/>
    <x v="1"/>
    <n v="0.62"/>
    <n v="40.299999999999997"/>
    <n v="29.25"/>
    <n v="0.42056074766355139"/>
  </r>
  <r>
    <s v="ORD004"/>
    <x v="3"/>
    <x v="1"/>
    <x v="3"/>
    <s v="Nairobi"/>
    <x v="1"/>
    <x v="3"/>
    <s v="James Mwangi"/>
    <n v="76"/>
    <n v="1.18"/>
    <n v="89.679999999999993"/>
    <x v="0"/>
    <n v="0.55000000000000004"/>
    <n v="41.800000000000004"/>
    <n v="47.88"/>
    <n v="0.53389830508474578"/>
  </r>
  <r>
    <s v="ORD005"/>
    <x v="4"/>
    <x v="2"/>
    <x v="4"/>
    <s v="Mumbai"/>
    <x v="1"/>
    <x v="2"/>
    <s v="Brian Otieno"/>
    <n v="50"/>
    <n v="1.35"/>
    <n v="67.5"/>
    <x v="0"/>
    <n v="0.81"/>
    <n v="40.5"/>
    <n v="27"/>
    <n v="0.4"/>
  </r>
  <r>
    <s v="ORD006"/>
    <x v="5"/>
    <x v="1"/>
    <x v="1"/>
    <s v="Lagos"/>
    <x v="0"/>
    <x v="4"/>
    <s v="Anita Njeri"/>
    <n v="110"/>
    <n v="1.1299999999999999"/>
    <n v="124.29999999999998"/>
    <x v="2"/>
    <n v="0.69"/>
    <n v="75.899999999999991"/>
    <n v="48.4"/>
    <n v="0.38938053097345138"/>
  </r>
  <r>
    <s v="ORD007"/>
    <x v="6"/>
    <x v="1"/>
    <x v="3"/>
    <s v="Nairobi"/>
    <x v="0"/>
    <x v="0"/>
    <s v="Anita Njeri"/>
    <n v="150"/>
    <n v="1.51"/>
    <n v="226.5"/>
    <x v="0"/>
    <n v="0.92"/>
    <n v="138"/>
    <n v="88.5"/>
    <n v="0.39072847682119205"/>
  </r>
  <r>
    <s v="ORD008"/>
    <x v="7"/>
    <x v="1"/>
    <x v="1"/>
    <s v="Lagos"/>
    <x v="0"/>
    <x v="4"/>
    <s v="Adebayo Olu"/>
    <n v="106"/>
    <n v="0.98"/>
    <n v="103.88"/>
    <x v="0"/>
    <n v="0.67"/>
    <n v="71.02000000000001"/>
    <n v="32.86"/>
    <n v="0.31632653061224492"/>
  </r>
  <r>
    <s v="ORD009"/>
    <x v="8"/>
    <x v="1"/>
    <x v="3"/>
    <s v="Mombasa"/>
    <x v="2"/>
    <x v="5"/>
    <s v="Anna Müller"/>
    <n v="60"/>
    <n v="1.48"/>
    <n v="88.8"/>
    <x v="0"/>
    <n v="0.81"/>
    <n v="48.6"/>
    <n v="40.200000000000003"/>
    <n v="0.45270270270270274"/>
  </r>
  <r>
    <s v="ORD010"/>
    <x v="9"/>
    <x v="0"/>
    <x v="0"/>
    <s v="Berlin"/>
    <x v="0"/>
    <x v="0"/>
    <s v="John Smith"/>
    <n v="200"/>
    <n v="1.52"/>
    <n v="304"/>
    <x v="2"/>
    <n v="0.81"/>
    <n v="162"/>
    <n v="142"/>
    <n v="0.46710526315789475"/>
  </r>
  <r>
    <s v="ORD011"/>
    <x v="10"/>
    <x v="2"/>
    <x v="2"/>
    <s v="Dubai"/>
    <x v="1"/>
    <x v="3"/>
    <s v="Fatima Noor"/>
    <n v="197"/>
    <n v="0.85"/>
    <n v="167.45"/>
    <x v="2"/>
    <n v="0.52"/>
    <n v="102.44"/>
    <n v="65.010000000000005"/>
    <n v="0.38823529411764712"/>
  </r>
  <r>
    <s v="ORD012"/>
    <x v="11"/>
    <x v="2"/>
    <x v="4"/>
    <s v="Mumbai"/>
    <x v="1"/>
    <x v="2"/>
    <s v="Anna Müller"/>
    <n v="185"/>
    <n v="1.21"/>
    <n v="223.85"/>
    <x v="2"/>
    <n v="0.57999999999999996"/>
    <n v="107.3"/>
    <n v="116.55"/>
    <n v="0.52066115702479343"/>
  </r>
  <r>
    <s v="ORD013"/>
    <x v="12"/>
    <x v="0"/>
    <x v="5"/>
    <s v="London"/>
    <x v="0"/>
    <x v="0"/>
    <s v="Fatima Noor"/>
    <n v="205"/>
    <n v="1.44"/>
    <n v="295.2"/>
    <x v="0"/>
    <n v="0.89"/>
    <n v="182.45"/>
    <n v="112.75"/>
    <n v="0.38194444444444448"/>
  </r>
  <r>
    <s v="ORD014"/>
    <x v="7"/>
    <x v="1"/>
    <x v="3"/>
    <s v="Nairobi"/>
    <x v="0"/>
    <x v="6"/>
    <s v="Brian Otieno"/>
    <n v="66"/>
    <n v="0.97"/>
    <n v="64.02"/>
    <x v="2"/>
    <n v="0.56000000000000005"/>
    <n v="36.96"/>
    <n v="27.06"/>
    <n v="0.42268041237113402"/>
  </r>
  <r>
    <s v="ORD015"/>
    <x v="13"/>
    <x v="2"/>
    <x v="2"/>
    <s v="Dubai"/>
    <x v="2"/>
    <x v="7"/>
    <s v="Anna Müller"/>
    <n v="208"/>
    <n v="1.19"/>
    <n v="247.51999999999998"/>
    <x v="0"/>
    <n v="0.78"/>
    <n v="162.24"/>
    <n v="85.28"/>
    <n v="0.34453781512605047"/>
  </r>
  <r>
    <s v="ORD016"/>
    <x v="14"/>
    <x v="1"/>
    <x v="1"/>
    <s v="Lagos"/>
    <x v="1"/>
    <x v="1"/>
    <s v="James Mwangi"/>
    <n v="240"/>
    <n v="1.38"/>
    <n v="331.2"/>
    <x v="2"/>
    <n v="0.77"/>
    <n v="184.8"/>
    <n v="146.4"/>
    <n v="0.4420289855072464"/>
  </r>
  <r>
    <s v="ORD017"/>
    <x v="15"/>
    <x v="0"/>
    <x v="0"/>
    <s v="Berlin"/>
    <x v="2"/>
    <x v="5"/>
    <s v="Fatima Noor"/>
    <n v="91"/>
    <n v="1.03"/>
    <n v="93.73"/>
    <x v="2"/>
    <n v="0.5"/>
    <n v="45.5"/>
    <n v="48.23"/>
    <n v="0.5145631067961165"/>
  </r>
  <r>
    <s v="ORD018"/>
    <x v="16"/>
    <x v="0"/>
    <x v="5"/>
    <s v="London"/>
    <x v="0"/>
    <x v="6"/>
    <s v="Ravi Kumar"/>
    <n v="129"/>
    <n v="1.53"/>
    <n v="197.37"/>
    <x v="0"/>
    <n v="0.87"/>
    <n v="112.23"/>
    <n v="85.14"/>
    <n v="0.43137254901960781"/>
  </r>
  <r>
    <s v="ORD019"/>
    <x v="17"/>
    <x v="1"/>
    <x v="3"/>
    <s v="Nairobi"/>
    <x v="2"/>
    <x v="5"/>
    <s v="Adebayo Olu"/>
    <n v="61"/>
    <n v="1.24"/>
    <n v="75.64"/>
    <x v="2"/>
    <n v="0.83"/>
    <n v="50.629999999999995"/>
    <n v="25.01"/>
    <n v="0.33064516129032262"/>
  </r>
  <r>
    <s v="ORD020"/>
    <x v="18"/>
    <x v="2"/>
    <x v="4"/>
    <s v="Mumbai"/>
    <x v="2"/>
    <x v="5"/>
    <s v="Fatima Noor"/>
    <n v="164"/>
    <n v="0.92"/>
    <n v="150.88"/>
    <x v="1"/>
    <n v="0.62"/>
    <n v="101.67999999999999"/>
    <n v="49.2"/>
    <n v="0.32608695652173914"/>
  </r>
  <r>
    <s v="ORD021"/>
    <x v="11"/>
    <x v="2"/>
    <x v="4"/>
    <s v="Mumbai"/>
    <x v="0"/>
    <x v="6"/>
    <s v="Ravi Kumar"/>
    <n v="108"/>
    <n v="1.47"/>
    <n v="158.76"/>
    <x v="1"/>
    <n v="1"/>
    <n v="108"/>
    <n v="50.76"/>
    <n v="0.31972789115646261"/>
  </r>
  <r>
    <s v="ORD022"/>
    <x v="19"/>
    <x v="1"/>
    <x v="3"/>
    <s v="Mombasa"/>
    <x v="0"/>
    <x v="4"/>
    <s v="James Mwangi"/>
    <n v="242"/>
    <n v="1.21"/>
    <n v="292.82"/>
    <x v="0"/>
    <n v="0.54"/>
    <n v="130.68"/>
    <n v="162.13999999999999"/>
    <n v="0.55371900826446274"/>
  </r>
  <r>
    <s v="ORD023"/>
    <x v="20"/>
    <x v="1"/>
    <x v="1"/>
    <s v="Lagos"/>
    <x v="1"/>
    <x v="1"/>
    <s v="James Mwangi"/>
    <n v="58"/>
    <n v="1.32"/>
    <n v="76.56"/>
    <x v="2"/>
    <n v="0.84"/>
    <n v="48.72"/>
    <n v="27.84"/>
    <n v="0.36363636363636365"/>
  </r>
  <r>
    <s v="ORD024"/>
    <x v="21"/>
    <x v="2"/>
    <x v="2"/>
    <s v="Dubai"/>
    <x v="1"/>
    <x v="1"/>
    <s v="Adebayo Olu"/>
    <n v="81"/>
    <n v="1.46"/>
    <n v="118.25999999999999"/>
    <x v="0"/>
    <n v="0.9"/>
    <n v="72.900000000000006"/>
    <n v="45.36"/>
    <n v="0.38356164383561647"/>
  </r>
  <r>
    <s v="ORD025"/>
    <x v="22"/>
    <x v="2"/>
    <x v="4"/>
    <s v="Mumbai"/>
    <x v="0"/>
    <x v="0"/>
    <s v="Ravi Kumar"/>
    <n v="151"/>
    <n v="1.18"/>
    <n v="178.17999999999998"/>
    <x v="1"/>
    <n v="0.78"/>
    <n v="117.78"/>
    <n v="60.4"/>
    <n v="0.33898305084745767"/>
  </r>
  <r>
    <s v="ORD026"/>
    <x v="23"/>
    <x v="1"/>
    <x v="3"/>
    <s v="Mombasa"/>
    <x v="0"/>
    <x v="4"/>
    <s v="James Mwangi"/>
    <n v="111"/>
    <n v="1.46"/>
    <n v="162.06"/>
    <x v="2"/>
    <n v="0.71"/>
    <n v="78.81"/>
    <n v="83.25"/>
    <n v="0.51369863013698625"/>
  </r>
  <r>
    <s v="ORD027"/>
    <x v="24"/>
    <x v="0"/>
    <x v="0"/>
    <s v="Berlin"/>
    <x v="2"/>
    <x v="7"/>
    <s v="Adebayo Olu"/>
    <n v="107"/>
    <n v="1.36"/>
    <n v="145.52000000000001"/>
    <x v="1"/>
    <n v="0.67"/>
    <n v="71.69"/>
    <n v="73.83"/>
    <n v="0.50735294117647056"/>
  </r>
  <r>
    <s v="ORD028"/>
    <x v="25"/>
    <x v="1"/>
    <x v="1"/>
    <s v="Lagos"/>
    <x v="1"/>
    <x v="1"/>
    <s v="John Smith"/>
    <n v="53"/>
    <n v="1.24"/>
    <n v="65.72"/>
    <x v="2"/>
    <n v="0.63"/>
    <n v="33.39"/>
    <n v="32.33"/>
    <n v="0.49193548387096775"/>
  </r>
  <r>
    <s v="ORD029"/>
    <x v="26"/>
    <x v="0"/>
    <x v="5"/>
    <s v="London"/>
    <x v="0"/>
    <x v="6"/>
    <s v="John Smith"/>
    <n v="192"/>
    <n v="0.98"/>
    <n v="188.16"/>
    <x v="2"/>
    <n v="0.41"/>
    <n v="78.72"/>
    <n v="109.44"/>
    <n v="0.58163265306122447"/>
  </r>
  <r>
    <s v="ORD030"/>
    <x v="27"/>
    <x v="2"/>
    <x v="2"/>
    <s v="Dubai"/>
    <x v="1"/>
    <x v="3"/>
    <s v="Anita Njeri"/>
    <n v="92"/>
    <n v="1.53"/>
    <n v="140.76"/>
    <x v="1"/>
    <n v="0.69"/>
    <n v="63.48"/>
    <n v="77.28"/>
    <n v="0.5490196078431373"/>
  </r>
  <r>
    <s v="ORD031"/>
    <x v="28"/>
    <x v="2"/>
    <x v="4"/>
    <s v="Mumbai"/>
    <x v="2"/>
    <x v="7"/>
    <s v="Ravi Kumar"/>
    <n v="141"/>
    <n v="1.53"/>
    <n v="215.73"/>
    <x v="1"/>
    <n v="0.93"/>
    <n v="131.13"/>
    <n v="84.6"/>
    <n v="0.39215686274509803"/>
  </r>
  <r>
    <s v="ORD032"/>
    <x v="1"/>
    <x v="2"/>
    <x v="2"/>
    <s v="Dubai"/>
    <x v="1"/>
    <x v="1"/>
    <s v="Adebayo Olu"/>
    <n v="128"/>
    <n v="1.5"/>
    <n v="192"/>
    <x v="1"/>
    <n v="0.77"/>
    <n v="98.56"/>
    <n v="93.44"/>
    <n v="0.48666666666666664"/>
  </r>
  <r>
    <s v="ORD033"/>
    <x v="29"/>
    <x v="0"/>
    <x v="0"/>
    <s v="Berlin"/>
    <x v="0"/>
    <x v="6"/>
    <s v="Anita Njeri"/>
    <n v="229"/>
    <n v="0.86"/>
    <n v="196.94"/>
    <x v="2"/>
    <n v="0.41"/>
    <n v="93.89"/>
    <n v="103.05"/>
    <n v="0.52325581395348841"/>
  </r>
  <r>
    <s v="ORD034"/>
    <x v="20"/>
    <x v="1"/>
    <x v="3"/>
    <s v="Mombasa"/>
    <x v="0"/>
    <x v="0"/>
    <s v="Anna Müller"/>
    <n v="221"/>
    <n v="1.52"/>
    <n v="335.92"/>
    <x v="1"/>
    <n v="0.77"/>
    <n v="170.17000000000002"/>
    <n v="165.75"/>
    <n v="0.49342105263157893"/>
  </r>
  <r>
    <s v="ORD035"/>
    <x v="19"/>
    <x v="0"/>
    <x v="5"/>
    <s v="London"/>
    <x v="0"/>
    <x v="0"/>
    <s v="Fatima Noor"/>
    <n v="176"/>
    <n v="1.21"/>
    <n v="212.95999999999998"/>
    <x v="2"/>
    <n v="0.68"/>
    <n v="119.68"/>
    <n v="93.28"/>
    <n v="0.43801652892561987"/>
  </r>
  <r>
    <s v="ORD036"/>
    <x v="30"/>
    <x v="1"/>
    <x v="3"/>
    <s v="Mombasa"/>
    <x v="0"/>
    <x v="4"/>
    <s v="Fatima Noor"/>
    <n v="89"/>
    <n v="1.17"/>
    <n v="104.13"/>
    <x v="1"/>
    <n v="0.72"/>
    <n v="64.08"/>
    <n v="40.049999999999997"/>
    <n v="0.38461538461538458"/>
  </r>
  <r>
    <s v="ORD037"/>
    <x v="31"/>
    <x v="1"/>
    <x v="1"/>
    <s v="Lagos"/>
    <x v="1"/>
    <x v="3"/>
    <s v="Anita Njeri"/>
    <n v="222"/>
    <n v="0.95"/>
    <n v="210.89999999999998"/>
    <x v="1"/>
    <n v="0.56999999999999995"/>
    <n v="126.53999999999999"/>
    <n v="84.36"/>
    <n v="0.4"/>
  </r>
  <r>
    <s v="ORD038"/>
    <x v="32"/>
    <x v="1"/>
    <x v="3"/>
    <s v="Mombasa"/>
    <x v="1"/>
    <x v="1"/>
    <s v="John Smith"/>
    <n v="177"/>
    <n v="1.28"/>
    <n v="226.56"/>
    <x v="2"/>
    <n v="0.66"/>
    <n v="116.82000000000001"/>
    <n v="109.74"/>
    <n v="0.484375"/>
  </r>
  <r>
    <s v="ORD039"/>
    <x v="33"/>
    <x v="0"/>
    <x v="0"/>
    <s v="Berlin"/>
    <x v="1"/>
    <x v="3"/>
    <s v="Ravi Kumar"/>
    <n v="182"/>
    <n v="1.07"/>
    <n v="194.74"/>
    <x v="0"/>
    <n v="0.74"/>
    <n v="134.68"/>
    <n v="60.06"/>
    <n v="0.30841121495327101"/>
  </r>
  <r>
    <s v="ORD040"/>
    <x v="34"/>
    <x v="1"/>
    <x v="3"/>
    <s v="Nairobi"/>
    <x v="2"/>
    <x v="5"/>
    <s v="James Mwangi"/>
    <n v="99"/>
    <n v="1"/>
    <n v="99"/>
    <x v="0"/>
    <n v="0.68"/>
    <n v="67.320000000000007"/>
    <n v="31.68"/>
    <n v="0.32"/>
  </r>
  <r>
    <s v="ORD041"/>
    <x v="35"/>
    <x v="0"/>
    <x v="5"/>
    <s v="London"/>
    <x v="1"/>
    <x v="3"/>
    <s v="Anita Njeri"/>
    <n v="97"/>
    <n v="1.37"/>
    <n v="132.89000000000001"/>
    <x v="0"/>
    <n v="0.9"/>
    <n v="87.3"/>
    <n v="45.59"/>
    <n v="0.3430656934306569"/>
  </r>
  <r>
    <s v="ORD042"/>
    <x v="36"/>
    <x v="2"/>
    <x v="2"/>
    <s v="Dubai"/>
    <x v="1"/>
    <x v="1"/>
    <s v="Fatima Noor"/>
    <n v="123"/>
    <n v="1.43"/>
    <n v="175.89"/>
    <x v="1"/>
    <n v="0.76"/>
    <n v="93.48"/>
    <n v="82.41"/>
    <n v="0.46853146853146854"/>
  </r>
  <r>
    <s v="ORD043"/>
    <x v="27"/>
    <x v="2"/>
    <x v="2"/>
    <s v="Dubai"/>
    <x v="1"/>
    <x v="3"/>
    <s v="Fatima Noor"/>
    <n v="108"/>
    <n v="1.59"/>
    <n v="171.72"/>
    <x v="1"/>
    <n v="0.73"/>
    <n v="78.84"/>
    <n v="92.88"/>
    <n v="0.54088050314465408"/>
  </r>
  <r>
    <s v="ORD044"/>
    <x v="4"/>
    <x v="2"/>
    <x v="2"/>
    <s v="Dubai"/>
    <x v="0"/>
    <x v="0"/>
    <s v="Brian Otieno"/>
    <n v="175"/>
    <n v="1.37"/>
    <n v="239.75000000000003"/>
    <x v="2"/>
    <n v="0.75"/>
    <n v="131.25"/>
    <n v="108.5"/>
    <n v="0.45255474452554739"/>
  </r>
  <r>
    <s v="ORD045"/>
    <x v="28"/>
    <x v="0"/>
    <x v="5"/>
    <s v="London"/>
    <x v="1"/>
    <x v="3"/>
    <s v="Adebayo Olu"/>
    <n v="227"/>
    <n v="1.19"/>
    <n v="270.13"/>
    <x v="0"/>
    <n v="0.78"/>
    <n v="177.06"/>
    <n v="93.07"/>
    <n v="0.34453781512605042"/>
  </r>
  <r>
    <s v="ORD046"/>
    <x v="37"/>
    <x v="0"/>
    <x v="5"/>
    <s v="London"/>
    <x v="1"/>
    <x v="3"/>
    <s v="Adebayo Olu"/>
    <n v="72"/>
    <n v="0.8"/>
    <n v="57.6"/>
    <x v="0"/>
    <n v="0.41"/>
    <n v="29.52"/>
    <n v="28.08"/>
    <n v="0.48749999999999993"/>
  </r>
  <r>
    <s v="ORD047"/>
    <x v="38"/>
    <x v="0"/>
    <x v="5"/>
    <s v="London"/>
    <x v="2"/>
    <x v="7"/>
    <s v="Adebayo Olu"/>
    <n v="154"/>
    <n v="0.88"/>
    <n v="135.52000000000001"/>
    <x v="1"/>
    <n v="0.4"/>
    <n v="61.6"/>
    <n v="73.92"/>
    <n v="0.54545454545454541"/>
  </r>
  <r>
    <s v="ORD048"/>
    <x v="39"/>
    <x v="2"/>
    <x v="4"/>
    <s v="Mumbai"/>
    <x v="0"/>
    <x v="4"/>
    <s v="James Mwangi"/>
    <n v="176"/>
    <n v="1"/>
    <n v="176"/>
    <x v="2"/>
    <n v="0.6"/>
    <n v="105.6"/>
    <n v="70.400000000000006"/>
    <n v="0.4"/>
  </r>
  <r>
    <s v="ORD049"/>
    <x v="40"/>
    <x v="2"/>
    <x v="2"/>
    <s v="Dubai"/>
    <x v="2"/>
    <x v="5"/>
    <s v="Anita Njeri"/>
    <n v="191"/>
    <n v="1.19"/>
    <n v="227.29"/>
    <x v="1"/>
    <n v="0.77"/>
    <n v="147.07"/>
    <n v="80.22"/>
    <n v="0.35294117647058826"/>
  </r>
  <r>
    <s v="ORD050"/>
    <x v="14"/>
    <x v="0"/>
    <x v="5"/>
    <s v="London"/>
    <x v="1"/>
    <x v="2"/>
    <s v="James Mwangi"/>
    <n v="169"/>
    <n v="1.28"/>
    <n v="216.32"/>
    <x v="2"/>
    <n v="0.69"/>
    <n v="116.60999999999999"/>
    <n v="99.71"/>
    <n v="0.4609375"/>
  </r>
  <r>
    <s v="ORD051"/>
    <x v="41"/>
    <x v="0"/>
    <x v="0"/>
    <s v="Berlin"/>
    <x v="0"/>
    <x v="6"/>
    <s v="James Mwangi"/>
    <n v="50"/>
    <n v="1.25"/>
    <n v="62.5"/>
    <x v="1"/>
    <n v="0.73"/>
    <n v="36.5"/>
    <n v="26"/>
    <n v="0.41599999999999998"/>
  </r>
  <r>
    <s v="ORD052"/>
    <x v="42"/>
    <x v="2"/>
    <x v="2"/>
    <s v="Dubai"/>
    <x v="1"/>
    <x v="3"/>
    <s v="Ravi Kumar"/>
    <n v="109"/>
    <n v="1.47"/>
    <n v="160.22999999999999"/>
    <x v="0"/>
    <n v="0.88"/>
    <n v="95.92"/>
    <n v="64.31"/>
    <n v="0.40136054421768713"/>
  </r>
  <r>
    <s v="ORD053"/>
    <x v="43"/>
    <x v="2"/>
    <x v="2"/>
    <s v="Dubai"/>
    <x v="0"/>
    <x v="0"/>
    <s v="Fatima Noor"/>
    <n v="95"/>
    <n v="1.49"/>
    <n v="141.55000000000001"/>
    <x v="0"/>
    <n v="0.79"/>
    <n v="75.05"/>
    <n v="66.5"/>
    <n v="0.46979865771812079"/>
  </r>
  <r>
    <s v="ORD054"/>
    <x v="37"/>
    <x v="2"/>
    <x v="2"/>
    <s v="Dubai"/>
    <x v="0"/>
    <x v="0"/>
    <s v="Brian Otieno"/>
    <n v="243"/>
    <n v="1.58"/>
    <n v="383.94"/>
    <x v="0"/>
    <n v="0.83"/>
    <n v="201.69"/>
    <n v="182.25"/>
    <n v="0.47468354430379744"/>
  </r>
  <r>
    <s v="ORD055"/>
    <x v="44"/>
    <x v="1"/>
    <x v="1"/>
    <s v="Lagos"/>
    <x v="1"/>
    <x v="1"/>
    <s v="Anna Müller"/>
    <n v="162"/>
    <n v="1.53"/>
    <n v="247.86"/>
    <x v="1"/>
    <n v="0.9"/>
    <n v="145.80000000000001"/>
    <n v="102.06"/>
    <n v="0.41176470588235292"/>
  </r>
  <r>
    <s v="ORD056"/>
    <x v="23"/>
    <x v="0"/>
    <x v="5"/>
    <s v="London"/>
    <x v="0"/>
    <x v="0"/>
    <s v="Anna Müller"/>
    <n v="221"/>
    <n v="0.81"/>
    <n v="179.01000000000002"/>
    <x v="2"/>
    <n v="0.34"/>
    <n v="75.14"/>
    <n v="103.87"/>
    <n v="0.58024691358024683"/>
  </r>
  <r>
    <s v="ORD057"/>
    <x v="26"/>
    <x v="2"/>
    <x v="4"/>
    <s v="Mumbai"/>
    <x v="0"/>
    <x v="6"/>
    <s v="Adebayo Olu"/>
    <n v="211"/>
    <n v="1.24"/>
    <n v="261.64"/>
    <x v="1"/>
    <n v="0.66"/>
    <n v="139.26000000000002"/>
    <n v="122.38"/>
    <n v="0.467741935483871"/>
  </r>
  <r>
    <s v="ORD058"/>
    <x v="45"/>
    <x v="0"/>
    <x v="0"/>
    <s v="Berlin"/>
    <x v="0"/>
    <x v="4"/>
    <s v="Anna Müller"/>
    <n v="116"/>
    <n v="1.06"/>
    <n v="122.96000000000001"/>
    <x v="0"/>
    <n v="0.55000000000000004"/>
    <n v="63.800000000000004"/>
    <n v="59.16"/>
    <n v="0.48113207547169806"/>
  </r>
  <r>
    <s v="ORD059"/>
    <x v="39"/>
    <x v="2"/>
    <x v="4"/>
    <s v="Mumbai"/>
    <x v="2"/>
    <x v="7"/>
    <s v="Fatima Noor"/>
    <n v="60"/>
    <n v="1.22"/>
    <n v="73.2"/>
    <x v="0"/>
    <n v="0.76"/>
    <n v="45.6"/>
    <n v="27.6"/>
    <n v="0.37704918032786888"/>
  </r>
  <r>
    <s v="ORD060"/>
    <x v="41"/>
    <x v="2"/>
    <x v="2"/>
    <s v="Dubai"/>
    <x v="2"/>
    <x v="5"/>
    <s v="Adebayo Olu"/>
    <n v="58"/>
    <n v="1.42"/>
    <n v="82.36"/>
    <x v="2"/>
    <n v="0.61"/>
    <n v="35.380000000000003"/>
    <n v="46.98"/>
    <n v="0.57042253521126762"/>
  </r>
  <r>
    <s v="ORD061"/>
    <x v="46"/>
    <x v="0"/>
    <x v="5"/>
    <s v="London"/>
    <x v="1"/>
    <x v="2"/>
    <s v="Brian Otieno"/>
    <n v="93"/>
    <n v="1.1599999999999999"/>
    <n v="107.88"/>
    <x v="2"/>
    <n v="0.64"/>
    <n v="59.52"/>
    <n v="48.36"/>
    <n v="0.44827586206896552"/>
  </r>
  <r>
    <s v="ORD062"/>
    <x v="28"/>
    <x v="0"/>
    <x v="0"/>
    <s v="Berlin"/>
    <x v="0"/>
    <x v="6"/>
    <s v="Ravi Kumar"/>
    <n v="106"/>
    <n v="1.02"/>
    <n v="108.12"/>
    <x v="2"/>
    <n v="0.53"/>
    <n v="56.18"/>
    <n v="51.94"/>
    <n v="0.48039215686274506"/>
  </r>
  <r>
    <s v="ORD063"/>
    <x v="33"/>
    <x v="0"/>
    <x v="0"/>
    <s v="Berlin"/>
    <x v="1"/>
    <x v="1"/>
    <s v="Anna Müller"/>
    <n v="190"/>
    <n v="0.94"/>
    <n v="178.6"/>
    <x v="2"/>
    <n v="0.56000000000000005"/>
    <n v="106.4"/>
    <n v="72.2"/>
    <n v="0.4042553191489362"/>
  </r>
  <r>
    <s v="ORD064"/>
    <x v="47"/>
    <x v="2"/>
    <x v="4"/>
    <s v="Mumbai"/>
    <x v="1"/>
    <x v="2"/>
    <s v="Ravi Kumar"/>
    <n v="159"/>
    <n v="1.26"/>
    <n v="200.34"/>
    <x v="0"/>
    <n v="0.83"/>
    <n v="131.97"/>
    <n v="68.37"/>
    <n v="0.34126984126984128"/>
  </r>
  <r>
    <s v="ORD065"/>
    <x v="48"/>
    <x v="2"/>
    <x v="2"/>
    <s v="Dubai"/>
    <x v="1"/>
    <x v="3"/>
    <s v="Ravi Kumar"/>
    <n v="58"/>
    <n v="0.93"/>
    <n v="53.940000000000005"/>
    <x v="0"/>
    <n v="0.56000000000000005"/>
    <n v="32.480000000000004"/>
    <n v="21.46"/>
    <n v="0.39784946236559138"/>
  </r>
  <r>
    <s v="ORD066"/>
    <x v="38"/>
    <x v="0"/>
    <x v="5"/>
    <s v="London"/>
    <x v="0"/>
    <x v="6"/>
    <s v="Adebayo Olu"/>
    <n v="181"/>
    <n v="0.9"/>
    <n v="162.9"/>
    <x v="2"/>
    <n v="0.6"/>
    <n v="108.6"/>
    <n v="54.3"/>
    <n v="0.33333333333333331"/>
  </r>
  <r>
    <s v="ORD067"/>
    <x v="37"/>
    <x v="2"/>
    <x v="2"/>
    <s v="Dubai"/>
    <x v="2"/>
    <x v="7"/>
    <s v="John Smith"/>
    <n v="98"/>
    <n v="0.86"/>
    <n v="84.28"/>
    <x v="2"/>
    <n v="0.36"/>
    <n v="35.28"/>
    <n v="49"/>
    <n v="0.58139534883720934"/>
  </r>
  <r>
    <s v="ORD068"/>
    <x v="49"/>
    <x v="1"/>
    <x v="3"/>
    <s v="Nairobi"/>
    <x v="0"/>
    <x v="0"/>
    <s v="Brian Otieno"/>
    <n v="204"/>
    <n v="1.07"/>
    <n v="218.28"/>
    <x v="2"/>
    <n v="0.63"/>
    <n v="128.52000000000001"/>
    <n v="89.76"/>
    <n v="0.41121495327102808"/>
  </r>
  <r>
    <s v="ORD069"/>
    <x v="50"/>
    <x v="0"/>
    <x v="5"/>
    <s v="London"/>
    <x v="0"/>
    <x v="4"/>
    <s v="James Mwangi"/>
    <n v="248"/>
    <n v="0.84"/>
    <n v="208.32"/>
    <x v="1"/>
    <n v="0.53"/>
    <n v="131.44"/>
    <n v="76.88"/>
    <n v="0.36904761904761901"/>
  </r>
  <r>
    <s v="ORD070"/>
    <x v="46"/>
    <x v="1"/>
    <x v="1"/>
    <s v="Lagos"/>
    <x v="2"/>
    <x v="5"/>
    <s v="Adebayo Olu"/>
    <n v="61"/>
    <n v="1.1100000000000001"/>
    <n v="67.710000000000008"/>
    <x v="0"/>
    <n v="0.53"/>
    <n v="32.33"/>
    <n v="35.380000000000003"/>
    <n v="0.52252252252252251"/>
  </r>
  <r>
    <s v="ORD071"/>
    <x v="18"/>
    <x v="2"/>
    <x v="2"/>
    <s v="Dubai"/>
    <x v="1"/>
    <x v="1"/>
    <s v="Anna Müller"/>
    <n v="229"/>
    <n v="1.1399999999999999"/>
    <n v="261.06"/>
    <x v="0"/>
    <n v="0.62"/>
    <n v="141.97999999999999"/>
    <n v="119.08"/>
    <n v="0.45614035087719296"/>
  </r>
  <r>
    <s v="ORD072"/>
    <x v="15"/>
    <x v="0"/>
    <x v="0"/>
    <s v="Berlin"/>
    <x v="1"/>
    <x v="1"/>
    <s v="John Smith"/>
    <n v="202"/>
    <n v="1.53"/>
    <n v="309.06"/>
    <x v="0"/>
    <n v="0.93"/>
    <n v="187.86"/>
    <n v="121.2"/>
    <n v="0.39215686274509803"/>
  </r>
  <r>
    <s v="ORD073"/>
    <x v="48"/>
    <x v="2"/>
    <x v="4"/>
    <s v="Mumbai"/>
    <x v="0"/>
    <x v="6"/>
    <s v="Ravi Kumar"/>
    <n v="106"/>
    <n v="1.08"/>
    <n v="114.48"/>
    <x v="0"/>
    <n v="0.5"/>
    <n v="53"/>
    <n v="61.48"/>
    <n v="0.53703703703703698"/>
  </r>
  <r>
    <s v="ORD074"/>
    <x v="5"/>
    <x v="2"/>
    <x v="4"/>
    <s v="Mumbai"/>
    <x v="1"/>
    <x v="1"/>
    <s v="Brian Otieno"/>
    <n v="209"/>
    <n v="1.6"/>
    <n v="334.40000000000003"/>
    <x v="0"/>
    <n v="0.81"/>
    <n v="169.29000000000002"/>
    <n v="165.11"/>
    <n v="0.49374999999999997"/>
  </r>
  <r>
    <s v="ORD075"/>
    <x v="51"/>
    <x v="0"/>
    <x v="5"/>
    <s v="London"/>
    <x v="1"/>
    <x v="1"/>
    <s v="Brian Otieno"/>
    <n v="227"/>
    <n v="1.1200000000000001"/>
    <n v="254.24000000000004"/>
    <x v="1"/>
    <n v="0.53"/>
    <n v="120.31"/>
    <n v="133.93"/>
    <n v="0.52678571428571419"/>
  </r>
  <r>
    <s v="ORD076"/>
    <x v="47"/>
    <x v="0"/>
    <x v="0"/>
    <s v="Berlin"/>
    <x v="1"/>
    <x v="3"/>
    <s v="Brian Otieno"/>
    <n v="61"/>
    <n v="1.26"/>
    <n v="76.86"/>
    <x v="2"/>
    <n v="0.69"/>
    <n v="42.089999999999996"/>
    <n v="34.770000000000003"/>
    <n v="0.45238095238095244"/>
  </r>
  <r>
    <s v="ORD077"/>
    <x v="52"/>
    <x v="1"/>
    <x v="1"/>
    <s v="Lagos"/>
    <x v="1"/>
    <x v="2"/>
    <s v="Brian Otieno"/>
    <n v="102"/>
    <n v="0.95"/>
    <n v="96.899999999999991"/>
    <x v="0"/>
    <n v="0.48"/>
    <n v="48.96"/>
    <n v="47.94"/>
    <n v="0.4947368421052632"/>
  </r>
  <r>
    <s v="ORD078"/>
    <x v="27"/>
    <x v="2"/>
    <x v="2"/>
    <s v="Dubai"/>
    <x v="2"/>
    <x v="5"/>
    <s v="Ravi Kumar"/>
    <n v="129"/>
    <n v="1.43"/>
    <n v="184.47"/>
    <x v="0"/>
    <n v="0.65"/>
    <n v="83.850000000000009"/>
    <n v="100.62"/>
    <n v="0.54545454545454553"/>
  </r>
  <r>
    <s v="ORD079"/>
    <x v="53"/>
    <x v="1"/>
    <x v="3"/>
    <s v="Nairobi"/>
    <x v="0"/>
    <x v="4"/>
    <s v="Anna Müller"/>
    <n v="210"/>
    <n v="1.03"/>
    <n v="216.3"/>
    <x v="0"/>
    <n v="0.43"/>
    <n v="90.3"/>
    <n v="126"/>
    <n v="0.58252427184466016"/>
  </r>
  <r>
    <s v="ORD080"/>
    <x v="54"/>
    <x v="0"/>
    <x v="0"/>
    <s v="Berlin"/>
    <x v="2"/>
    <x v="5"/>
    <s v="Ravi Kumar"/>
    <n v="61"/>
    <n v="1.34"/>
    <n v="81.740000000000009"/>
    <x v="0"/>
    <n v="0.6"/>
    <n v="36.6"/>
    <n v="45.14"/>
    <n v="0.55223880597014918"/>
  </r>
  <r>
    <s v="ORD081"/>
    <x v="55"/>
    <x v="2"/>
    <x v="4"/>
    <s v="Mumbai"/>
    <x v="1"/>
    <x v="2"/>
    <s v="James Mwangi"/>
    <n v="146"/>
    <n v="0.95"/>
    <n v="138.69999999999999"/>
    <x v="0"/>
    <n v="0.56000000000000005"/>
    <n v="81.760000000000005"/>
    <n v="56.94"/>
    <n v="0.41052631578947368"/>
  </r>
  <r>
    <s v="ORD082"/>
    <x v="56"/>
    <x v="0"/>
    <x v="0"/>
    <s v="Berlin"/>
    <x v="2"/>
    <x v="7"/>
    <s v="Fatima Noor"/>
    <n v="109"/>
    <n v="1.1499999999999999"/>
    <n v="125.35"/>
    <x v="1"/>
    <n v="0.57999999999999996"/>
    <n v="63.22"/>
    <n v="62.13"/>
    <n v="0.4956521739130435"/>
  </r>
  <r>
    <s v="ORD083"/>
    <x v="15"/>
    <x v="0"/>
    <x v="5"/>
    <s v="London"/>
    <x v="2"/>
    <x v="7"/>
    <s v="James Mwangi"/>
    <n v="79"/>
    <n v="1.1299999999999999"/>
    <n v="89.27"/>
    <x v="0"/>
    <n v="0.7"/>
    <n v="55.3"/>
    <n v="33.97"/>
    <n v="0.38053097345132741"/>
  </r>
  <r>
    <s v="ORD084"/>
    <x v="25"/>
    <x v="2"/>
    <x v="2"/>
    <s v="Dubai"/>
    <x v="1"/>
    <x v="2"/>
    <s v="Fatima Noor"/>
    <n v="71"/>
    <n v="1.41"/>
    <n v="100.11"/>
    <x v="2"/>
    <n v="0.7"/>
    <n v="49.699999999999996"/>
    <n v="50.41"/>
    <n v="0.50354609929078009"/>
  </r>
  <r>
    <s v="ORD085"/>
    <x v="10"/>
    <x v="0"/>
    <x v="0"/>
    <s v="Berlin"/>
    <x v="2"/>
    <x v="5"/>
    <s v="Ravi Kumar"/>
    <n v="92"/>
    <n v="0.92"/>
    <n v="84.64"/>
    <x v="1"/>
    <n v="0.63"/>
    <n v="57.96"/>
    <n v="26.68"/>
    <n v="0.31521739130434784"/>
  </r>
  <r>
    <s v="ORD086"/>
    <x v="51"/>
    <x v="1"/>
    <x v="3"/>
    <s v="Nairobi"/>
    <x v="0"/>
    <x v="0"/>
    <s v="Ravi Kumar"/>
    <n v="203"/>
    <n v="1.03"/>
    <n v="209.09"/>
    <x v="0"/>
    <n v="0.48"/>
    <n v="97.44"/>
    <n v="111.65"/>
    <n v="0.53398058252427183"/>
  </r>
  <r>
    <s v="ORD087"/>
    <x v="39"/>
    <x v="1"/>
    <x v="3"/>
    <s v="Mombasa"/>
    <x v="0"/>
    <x v="6"/>
    <s v="Fatima Noor"/>
    <n v="191"/>
    <n v="1.59"/>
    <n v="303.69"/>
    <x v="0"/>
    <n v="1.1100000000000001"/>
    <n v="212.01000000000002"/>
    <n v="91.68"/>
    <n v="0.30188679245283023"/>
  </r>
  <r>
    <s v="ORD088"/>
    <x v="57"/>
    <x v="0"/>
    <x v="0"/>
    <s v="Berlin"/>
    <x v="0"/>
    <x v="4"/>
    <s v="Anita Njeri"/>
    <n v="65"/>
    <n v="1.36"/>
    <n v="88.4"/>
    <x v="2"/>
    <n v="0.65"/>
    <n v="42.25"/>
    <n v="46.15"/>
    <n v="0.52205882352941169"/>
  </r>
  <r>
    <s v="ORD089"/>
    <x v="48"/>
    <x v="0"/>
    <x v="5"/>
    <s v="London"/>
    <x v="0"/>
    <x v="4"/>
    <s v="Brian Otieno"/>
    <n v="176"/>
    <n v="1.07"/>
    <n v="188.32000000000002"/>
    <x v="0"/>
    <n v="0.5"/>
    <n v="88"/>
    <n v="100.32"/>
    <n v="0.53271028037383172"/>
  </r>
  <r>
    <s v="ORD090"/>
    <x v="8"/>
    <x v="1"/>
    <x v="3"/>
    <s v="Mombasa"/>
    <x v="2"/>
    <x v="7"/>
    <s v="Anna Müller"/>
    <n v="109"/>
    <n v="1.54"/>
    <n v="167.86"/>
    <x v="1"/>
    <n v="0.88"/>
    <n v="95.92"/>
    <n v="71.94"/>
    <n v="0.42857142857142855"/>
  </r>
  <r>
    <s v="ORD091"/>
    <x v="58"/>
    <x v="2"/>
    <x v="4"/>
    <s v="Mumbai"/>
    <x v="1"/>
    <x v="2"/>
    <s v="John Smith"/>
    <n v="182"/>
    <n v="1.51"/>
    <n v="274.82"/>
    <x v="2"/>
    <n v="0.97"/>
    <n v="176.54"/>
    <n v="98.28"/>
    <n v="0.35761589403973509"/>
  </r>
  <r>
    <s v="ORD092"/>
    <x v="49"/>
    <x v="0"/>
    <x v="5"/>
    <s v="London"/>
    <x v="0"/>
    <x v="4"/>
    <s v="Anita Njeri"/>
    <n v="136"/>
    <n v="1.21"/>
    <n v="164.56"/>
    <x v="1"/>
    <n v="0.49"/>
    <n v="66.64"/>
    <n v="97.92"/>
    <n v="0.5950413223140496"/>
  </r>
  <r>
    <s v="ORD093"/>
    <x v="27"/>
    <x v="0"/>
    <x v="5"/>
    <s v="London"/>
    <x v="2"/>
    <x v="7"/>
    <s v="James Mwangi"/>
    <n v="198"/>
    <n v="1.29"/>
    <n v="255.42000000000002"/>
    <x v="1"/>
    <n v="0.81"/>
    <n v="160.38000000000002"/>
    <n v="95.04"/>
    <n v="0.37209302325581395"/>
  </r>
  <r>
    <s v="ORD094"/>
    <x v="25"/>
    <x v="0"/>
    <x v="0"/>
    <s v="Berlin"/>
    <x v="0"/>
    <x v="0"/>
    <s v="John Smith"/>
    <n v="73"/>
    <n v="1.22"/>
    <n v="89.06"/>
    <x v="1"/>
    <n v="0.68"/>
    <n v="49.64"/>
    <n v="39.42"/>
    <n v="0.44262295081967212"/>
  </r>
  <r>
    <s v="ORD095"/>
    <x v="59"/>
    <x v="1"/>
    <x v="1"/>
    <s v="Lagos"/>
    <x v="0"/>
    <x v="4"/>
    <s v="Ravi Kumar"/>
    <n v="123"/>
    <n v="1.1399999999999999"/>
    <n v="140.22"/>
    <x v="2"/>
    <n v="0.74"/>
    <n v="91.02"/>
    <n v="49.2"/>
    <n v="0.35087719298245618"/>
  </r>
  <r>
    <s v="ORD096"/>
    <x v="47"/>
    <x v="0"/>
    <x v="0"/>
    <s v="Berlin"/>
    <x v="2"/>
    <x v="7"/>
    <s v="Ravi Kumar"/>
    <n v="162"/>
    <n v="0.95"/>
    <n v="153.9"/>
    <x v="0"/>
    <n v="0.53"/>
    <n v="85.86"/>
    <n v="68.040000000000006"/>
    <n v="0.44210526315789478"/>
  </r>
  <r>
    <s v="ORD097"/>
    <x v="60"/>
    <x v="2"/>
    <x v="4"/>
    <s v="Mumbai"/>
    <x v="0"/>
    <x v="0"/>
    <s v="Fatima Noor"/>
    <n v="190"/>
    <n v="0.93"/>
    <n v="176.70000000000002"/>
    <x v="0"/>
    <n v="0.59"/>
    <n v="112.1"/>
    <n v="64.599999999999994"/>
    <n v="0.36559139784946232"/>
  </r>
  <r>
    <s v="ORD098"/>
    <x v="61"/>
    <x v="2"/>
    <x v="2"/>
    <s v="Dubai"/>
    <x v="2"/>
    <x v="7"/>
    <s v="John Smith"/>
    <n v="243"/>
    <n v="1.22"/>
    <n v="296.45999999999998"/>
    <x v="0"/>
    <n v="0.6"/>
    <n v="145.79999999999998"/>
    <n v="150.66"/>
    <n v="0.50819672131147542"/>
  </r>
  <r>
    <s v="ORD099"/>
    <x v="38"/>
    <x v="1"/>
    <x v="3"/>
    <s v="Mombasa"/>
    <x v="2"/>
    <x v="5"/>
    <s v="James Mwangi"/>
    <n v="136"/>
    <n v="1.17"/>
    <n v="159.12"/>
    <x v="2"/>
    <n v="0.59"/>
    <n v="80.239999999999995"/>
    <n v="78.88"/>
    <n v="0.49572649572649569"/>
  </r>
  <r>
    <s v="ORD100"/>
    <x v="30"/>
    <x v="0"/>
    <x v="0"/>
    <s v="Berlin"/>
    <x v="0"/>
    <x v="0"/>
    <s v="Brian Otieno"/>
    <n v="226"/>
    <n v="0.9"/>
    <n v="203.4"/>
    <x v="2"/>
    <n v="0.52"/>
    <n v="117.52000000000001"/>
    <n v="85.88"/>
    <n v="0.42222222222222217"/>
  </r>
  <r>
    <s v="ORD101"/>
    <x v="58"/>
    <x v="2"/>
    <x v="4"/>
    <s v="Mumbai"/>
    <x v="0"/>
    <x v="0"/>
    <s v="Ravi Kumar"/>
    <n v="247"/>
    <n v="1.43"/>
    <n v="353.21"/>
    <x v="2"/>
    <n v="0.68"/>
    <n v="167.96"/>
    <n v="185.25"/>
    <n v="0.52447552447552448"/>
  </r>
  <r>
    <s v="ORD102"/>
    <x v="44"/>
    <x v="1"/>
    <x v="1"/>
    <s v="Lagos"/>
    <x v="1"/>
    <x v="1"/>
    <s v="James Mwangi"/>
    <n v="170"/>
    <n v="0.9"/>
    <n v="153"/>
    <x v="1"/>
    <n v="0.57999999999999996"/>
    <n v="98.6"/>
    <n v="54.4"/>
    <n v="0.35555555555555557"/>
  </r>
  <r>
    <s v="ORD103"/>
    <x v="40"/>
    <x v="1"/>
    <x v="1"/>
    <s v="Lagos"/>
    <x v="0"/>
    <x v="4"/>
    <s v="John Smith"/>
    <n v="209"/>
    <n v="1.23"/>
    <n v="257.07"/>
    <x v="2"/>
    <n v="0.68"/>
    <n v="142.12"/>
    <n v="114.95"/>
    <n v="0.44715447154471549"/>
  </r>
  <r>
    <s v="ORD104"/>
    <x v="46"/>
    <x v="1"/>
    <x v="1"/>
    <s v="Lagos"/>
    <x v="1"/>
    <x v="3"/>
    <s v="Anita Njeri"/>
    <n v="194"/>
    <n v="1.04"/>
    <n v="201.76000000000002"/>
    <x v="2"/>
    <n v="0.57999999999999996"/>
    <n v="112.52"/>
    <n v="89.24"/>
    <n v="0.44230769230769224"/>
  </r>
  <r>
    <s v="ORD105"/>
    <x v="29"/>
    <x v="0"/>
    <x v="5"/>
    <s v="London"/>
    <x v="2"/>
    <x v="7"/>
    <s v="James Mwangi"/>
    <n v="239"/>
    <n v="1.26"/>
    <n v="301.14"/>
    <x v="0"/>
    <n v="0.65"/>
    <n v="155.35"/>
    <n v="145.79"/>
    <n v="0.48412698412698413"/>
  </r>
  <r>
    <s v="ORD106"/>
    <x v="62"/>
    <x v="2"/>
    <x v="4"/>
    <s v="Mumbai"/>
    <x v="2"/>
    <x v="7"/>
    <s v="Anita Njeri"/>
    <n v="217"/>
    <n v="0.92"/>
    <n v="199.64000000000001"/>
    <x v="2"/>
    <n v="0.45"/>
    <n v="97.65"/>
    <n v="101.99"/>
    <n v="0.51086956521739124"/>
  </r>
  <r>
    <s v="ORD107"/>
    <x v="56"/>
    <x v="1"/>
    <x v="3"/>
    <s v="Nairobi"/>
    <x v="1"/>
    <x v="2"/>
    <s v="Anna Müller"/>
    <n v="134"/>
    <n v="1.1200000000000001"/>
    <n v="150.08000000000001"/>
    <x v="2"/>
    <n v="0.74"/>
    <n v="99.16"/>
    <n v="50.92"/>
    <n v="0.33928571428571425"/>
  </r>
  <r>
    <s v="ORD108"/>
    <x v="63"/>
    <x v="0"/>
    <x v="5"/>
    <s v="London"/>
    <x v="2"/>
    <x v="5"/>
    <s v="Ravi Kumar"/>
    <n v="108"/>
    <n v="1.06"/>
    <n v="114.48"/>
    <x v="1"/>
    <n v="0.5"/>
    <n v="54"/>
    <n v="60.48"/>
    <n v="0.52830188679245282"/>
  </r>
  <r>
    <s v="ORD109"/>
    <x v="64"/>
    <x v="2"/>
    <x v="4"/>
    <s v="Mumbai"/>
    <x v="1"/>
    <x v="1"/>
    <s v="Adebayo Olu"/>
    <n v="103"/>
    <n v="1.52"/>
    <n v="156.56"/>
    <x v="2"/>
    <n v="0.98"/>
    <n v="100.94"/>
    <n v="55.62"/>
    <n v="0.35526315789473684"/>
  </r>
  <r>
    <s v="ORD110"/>
    <x v="65"/>
    <x v="0"/>
    <x v="5"/>
    <s v="London"/>
    <x v="0"/>
    <x v="0"/>
    <s v="Anna Müller"/>
    <n v="199"/>
    <n v="1.58"/>
    <n v="314.42"/>
    <x v="0"/>
    <n v="0.64"/>
    <n v="127.36"/>
    <n v="187.06"/>
    <n v="0.59493670886075944"/>
  </r>
  <r>
    <s v="ORD111"/>
    <x v="39"/>
    <x v="0"/>
    <x v="5"/>
    <s v="London"/>
    <x v="0"/>
    <x v="4"/>
    <s v="Anna Müller"/>
    <n v="200"/>
    <n v="1.02"/>
    <n v="204"/>
    <x v="0"/>
    <n v="0.46"/>
    <n v="92"/>
    <n v="112"/>
    <n v="0.5490196078431373"/>
  </r>
  <r>
    <s v="ORD112"/>
    <x v="66"/>
    <x v="1"/>
    <x v="1"/>
    <s v="Lagos"/>
    <x v="2"/>
    <x v="5"/>
    <s v="Brian Otieno"/>
    <n v="139"/>
    <n v="1.42"/>
    <n v="197.38"/>
    <x v="1"/>
    <n v="0.61"/>
    <n v="84.789999999999992"/>
    <n v="112.59"/>
    <n v="0.57042253521126762"/>
  </r>
  <r>
    <s v="ORD113"/>
    <x v="55"/>
    <x v="0"/>
    <x v="5"/>
    <s v="London"/>
    <x v="2"/>
    <x v="5"/>
    <s v="John Smith"/>
    <n v="86"/>
    <n v="1.51"/>
    <n v="129.86000000000001"/>
    <x v="0"/>
    <n v="0.72"/>
    <n v="61.919999999999995"/>
    <n v="67.94"/>
    <n v="0.52317880794701976"/>
  </r>
  <r>
    <s v="ORD114"/>
    <x v="38"/>
    <x v="2"/>
    <x v="2"/>
    <s v="Dubai"/>
    <x v="1"/>
    <x v="1"/>
    <s v="Brian Otieno"/>
    <n v="171"/>
    <n v="1.55"/>
    <n v="265.05"/>
    <x v="2"/>
    <n v="1.07"/>
    <n v="182.97"/>
    <n v="82.08"/>
    <n v="0.30967741935483867"/>
  </r>
  <r>
    <s v="ORD115"/>
    <x v="37"/>
    <x v="0"/>
    <x v="5"/>
    <s v="London"/>
    <x v="2"/>
    <x v="7"/>
    <s v="John Smith"/>
    <n v="97"/>
    <n v="1.44"/>
    <n v="139.68"/>
    <x v="0"/>
    <n v="0.63"/>
    <n v="61.11"/>
    <n v="78.569999999999993"/>
    <n v="0.56249999999999989"/>
  </r>
  <r>
    <s v="ORD116"/>
    <x v="67"/>
    <x v="0"/>
    <x v="5"/>
    <s v="London"/>
    <x v="2"/>
    <x v="7"/>
    <s v="Ravi Kumar"/>
    <n v="147"/>
    <n v="1.58"/>
    <n v="232.26000000000002"/>
    <x v="2"/>
    <n v="0.98"/>
    <n v="144.06"/>
    <n v="88.2"/>
    <n v="0.37974683544303794"/>
  </r>
  <r>
    <s v="ORD117"/>
    <x v="0"/>
    <x v="2"/>
    <x v="2"/>
    <s v="Dubai"/>
    <x v="1"/>
    <x v="1"/>
    <s v="Fatima Noor"/>
    <n v="204"/>
    <n v="0.99"/>
    <n v="201.96"/>
    <x v="1"/>
    <n v="0.44"/>
    <n v="89.76"/>
    <n v="112.2"/>
    <n v="0.55555555555555558"/>
  </r>
  <r>
    <s v="ORD118"/>
    <x v="36"/>
    <x v="0"/>
    <x v="5"/>
    <s v="London"/>
    <x v="1"/>
    <x v="1"/>
    <s v="John Smith"/>
    <n v="235"/>
    <n v="1.1599999999999999"/>
    <n v="272.59999999999997"/>
    <x v="0"/>
    <n v="0.76"/>
    <n v="178.6"/>
    <n v="94"/>
    <n v="0.34482758620689657"/>
  </r>
  <r>
    <s v="ORD119"/>
    <x v="0"/>
    <x v="0"/>
    <x v="5"/>
    <s v="London"/>
    <x v="1"/>
    <x v="2"/>
    <s v="Anita Njeri"/>
    <n v="122"/>
    <n v="1.42"/>
    <n v="173.23999999999998"/>
    <x v="2"/>
    <n v="0.91"/>
    <n v="111.02000000000001"/>
    <n v="62.22"/>
    <n v="0.35915492957746481"/>
  </r>
  <r>
    <s v="ORD120"/>
    <x v="68"/>
    <x v="1"/>
    <x v="3"/>
    <s v="Mombasa"/>
    <x v="2"/>
    <x v="7"/>
    <s v="James Mwangi"/>
    <n v="164"/>
    <n v="1.55"/>
    <n v="254.20000000000002"/>
    <x v="0"/>
    <n v="0.84"/>
    <n v="137.76"/>
    <n v="116.44"/>
    <n v="0.45806451612903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5A4AD-C9CB-4EEA-8EF8-298B00F97C78}" name="PivotTable4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8">
  <location ref="A7:B11" firstHeaderRow="1" firstDataRow="1" firstDataCol="1"/>
  <pivotFields count="17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2" showAll="0"/>
    <pivotField numFmtId="2" showAll="0"/>
    <pivotField showAll="0"/>
    <pivotField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10" baseField="0" baseItem="0" numFmtId="170"/>
  </dataFields>
  <formats count="2">
    <format dxfId="8">
      <pivotArea collapsedLevelsAreSubtotals="1" fieldPosition="0">
        <references count="1">
          <reference field="2" count="0"/>
        </references>
      </pivotArea>
    </format>
    <format dxfId="2">
      <pivotArea outline="0" collapsedLevelsAreSubtotals="1" fieldPosition="0"/>
    </format>
  </formats>
  <chartFormats count="5">
    <chartFormat chart="3" format="1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8DC60-45A7-49CC-9126-8024CA1AC9B5}" name="PivotTable3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11">
  <location ref="D3:E10" firstHeaderRow="1" firstDataRow="1" firstDataCol="1"/>
  <pivotFields count="17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multipleItemSelectionAllowed="1" showAll="0"/>
    <pivotField axis="axisRow" showAll="0" sortType="ascending">
      <items count="7">
        <item x="0"/>
        <item x="4"/>
        <item x="3"/>
        <item x="1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multipleItemSelectionAllowed="1" showAll="0"/>
    <pivotField showAll="0"/>
    <pivotField showAll="0"/>
    <pivotField showAll="0"/>
    <pivotField showAll="0"/>
    <pivotField showAll="0"/>
    <pivotField dataField="1" numFmtId="2" showAll="0"/>
    <pivotField showAll="0"/>
    <pivotField numFmtId="2" showAll="0"/>
    <pivotField numFmtId="2" showAll="0"/>
    <pivotField showAll="0"/>
    <pivotField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 v="3"/>
    </i>
    <i>
      <x/>
    </i>
    <i>
      <x v="2"/>
    </i>
    <i>
      <x v="1"/>
    </i>
    <i>
      <x v="4"/>
    </i>
    <i>
      <x v="5"/>
    </i>
    <i t="grand">
      <x/>
    </i>
  </rowItems>
  <colItems count="1">
    <i/>
  </colItems>
  <dataFields count="1">
    <dataField name="Sum of Total_Revenue" fld="10" baseField="0" baseItem="0" numFmtId="167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22282-66F1-4C9D-A821-6B57946C49ED}" name="PivotTable9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7">
  <location ref="H1:I5" firstHeaderRow="1" firstDataRow="1" firstDataCol="1"/>
  <pivotFields count="17">
    <pivotField showAll="0"/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dataField="1" showAll="0"/>
    <pivotField numFmtId="165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6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Profit" fld="14" baseField="0" baseItem="0" numFmtId="1"/>
  </dataFields>
  <formats count="1">
    <format dxfId="9">
      <pivotArea outline="0" collapsedLevelsAreSubtotals="1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DE440-AD94-41BE-B5E8-D883ECE33529}" name="PivotTable1" cacheId="0" dataOnRows="1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A1:B5" firstHeaderRow="1" firstDataRow="1" firstDataCol="1"/>
  <pivotFields count="17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numFmtId="2" showAll="0"/>
    <pivotField showAll="0"/>
    <pivotField numFmtId="2" showAll="0"/>
    <pivotField numFmtId="2" showAll="0"/>
    <pivotField dataField="1"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Sum of Total_Revenue" fld="10" baseField="0" baseItem="0" numFmtId="43"/>
    <dataField name="Average of Profit_Margin" fld="15" subtotal="average" baseField="2" baseItem="0" numFmtId="2"/>
    <dataField name="Sum of Units_Sold" fld="8" baseField="0" baseItem="0" numFmtId="43"/>
    <dataField name="Sum of Profit" fld="14" baseField="0" baseItem="0" numFmtId="43"/>
  </dataFields>
  <formats count="9"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collapsedLevelsAreSubtotals="1" fieldPosition="0">
        <references count="1">
          <reference field="4294967294" count="1">
            <x v="1"/>
          </reference>
        </references>
      </pivotArea>
    </format>
    <format dxfId="7">
      <pivotArea collapsedLevelsAreSubtotals="1" fieldPosition="0">
        <references count="1">
          <reference field="4294967294" count="1">
            <x v="2"/>
          </reference>
        </references>
      </pivotArea>
    </format>
    <format dxfId="6">
      <pivotArea collapsedLevelsAreSubtotals="1" fieldPosition="0">
        <references count="1">
          <reference field="4294967294" count="1">
            <x v="0"/>
          </reference>
        </references>
      </pivotArea>
    </format>
    <format dxfId="5">
      <pivotArea collapsedLevelsAreSubtotals="1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DCCB3-BA4C-42FA-A4A2-BDEF27FF42AC}" name="PivotTable16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E23:F27" firstHeaderRow="1" firstDataRow="1" firstDataCol="1"/>
  <pivotFields count="17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6">
        <item x="1"/>
        <item m="1" x="4"/>
        <item x="2"/>
        <item x="0"/>
        <item m="1" x="3"/>
        <item t="default"/>
      </items>
    </pivotField>
    <pivotField numFmtId="2" showAll="0"/>
    <pivotField numFmtId="2" showAll="0"/>
    <pivotField showAll="0"/>
    <pivotField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Total_Revenue" fld="10" baseField="0" baseItem="0" numFmtId="17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F2719-B553-4677-9252-779A71C6761D}" name="PivotTable6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10">
  <location ref="D14:E20" firstHeaderRow="1" firstDataRow="1" firstDataCol="1"/>
  <pivotFields count="17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multipleItemSelectionAllowed="1" showAll="0"/>
    <pivotField axis="axisRow" multipleItemSelectionAllowed="1" showAll="0" measureFilter="1" sortType="ascending">
      <items count="9">
        <item x="4"/>
        <item x="0"/>
        <item x="5"/>
        <item x="7"/>
        <item x="6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2" showAll="0"/>
    <pivotField showAll="0"/>
    <pivotField numFmtId="2" showAll="0"/>
    <pivotField numFmtId="2" showAll="0"/>
    <pivotField showAll="0"/>
    <pivotField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 v="6"/>
    </i>
    <i>
      <x/>
    </i>
    <i>
      <x v="3"/>
    </i>
    <i>
      <x v="5"/>
    </i>
    <i>
      <x v="1"/>
    </i>
    <i t="grand">
      <x/>
    </i>
  </rowItems>
  <colItems count="1">
    <i/>
  </colItems>
  <dataFields count="1">
    <dataField name="Sum of Total_Revenue" fld="10" baseField="0" baseItem="0" numFmtId="170"/>
  </dataFields>
  <formats count="1">
    <format dxfId="3">
      <pivotArea outline="0" collapsedLevelsAreSubtotals="1" fieldPosition="0"/>
    </format>
  </format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2C084-BDA4-40EC-A034-A638ABE4F5A6}" name="PivotTable2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4">
  <location ref="A13:B20" firstHeaderRow="1" firstDataRow="1" firstDataCol="1"/>
  <pivotFields count="17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 sortType="ascending">
      <items count="7">
        <item x="0"/>
        <item x="4"/>
        <item x="3"/>
        <item x="1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2" showAll="0"/>
    <pivotField numFmtId="2" showAll="0"/>
    <pivotField showAll="0"/>
    <pivotField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 v="3"/>
    </i>
    <i>
      <x/>
    </i>
    <i>
      <x v="2"/>
    </i>
    <i>
      <x v="1"/>
    </i>
    <i>
      <x v="4"/>
    </i>
    <i>
      <x v="5"/>
    </i>
    <i t="grand">
      <x/>
    </i>
  </rowItems>
  <colItems count="1">
    <i/>
  </colItems>
  <dataFields count="1">
    <dataField name="Sum of Total_Revenue" fld="10" baseField="0" baseItem="0" numFmtId="170"/>
  </dataFields>
  <formats count="2">
    <format dxfId="16">
      <pivotArea collapsedLevelsAreSubtotals="1" fieldPosition="0">
        <references count="1">
          <reference field="3" count="0"/>
        </references>
      </pivotArea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DAA63-7A81-4907-85FC-467E73FAA3C8}" name="PivotTable10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9">
  <location ref="H8:I12" firstHeaderRow="1" firstDataRow="1" firstDataCol="1"/>
  <pivotFields count="17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axis="axisRow" showAll="0">
      <items count="6">
        <item x="1"/>
        <item m="1" x="4"/>
        <item x="2"/>
        <item x="0"/>
        <item m="1" x="3"/>
        <item t="default"/>
      </items>
    </pivotField>
    <pivotField numFmtId="2" showAll="0"/>
    <pivotField numFmtId="2" showAll="0"/>
    <pivotField dataField="1" showAll="0"/>
    <pivotField numFmtId="165" showAll="0"/>
    <pivotField showAll="0" defaultSubtotal="0"/>
  </pivotFields>
  <rowFields count="1">
    <field x="11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Profit" fld="14" baseField="0" baseItem="0" numFmtId="1"/>
  </dataFields>
  <formats count="1">
    <format dxfId="17">
      <pivotArea outline="0" collapsedLevelsAreSubtotals="1" fieldPosition="0"/>
    </format>
  </formats>
  <chartFormats count="8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3E288-7A44-41B3-904F-82A5C6837A81}" name="PivotTable7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9">
  <location ref="A23:C27" firstHeaderRow="0" firstDataRow="1" firstDataCol="1"/>
  <pivotFields count="17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numFmtId="2" showAll="0"/>
    <pivotField numFmtId="2" showAll="0"/>
    <pivotField dataField="1" showAll="0"/>
    <pivotField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4" baseField="5" baseItem="0" numFmtId="167"/>
    <dataField name="Sum of Total_Revenue" fld="10" baseField="0" baseItem="0" numFmtId="170"/>
  </dataFields>
  <formats count="1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01119-25B1-4E40-AFC4-2DBA2A10163D}" name="Table1" displayName="Table1" ref="A1:P121" totalsRowShown="0">
  <autoFilter ref="A1:P121" xr:uid="{BA724381-8CD5-4A30-8BD6-D77EECEBB315}"/>
  <tableColumns count="16">
    <tableColumn id="1" xr3:uid="{8480381A-5ABC-4AA4-996C-2CCD218DA28E}" name="Order_ID"/>
    <tableColumn id="2" xr3:uid="{A45B8370-A0BE-460A-A9FA-C63F6775196D}" name="Order_Date" dataDxfId="23"/>
    <tableColumn id="3" xr3:uid="{41D33B4F-905C-4928-B4F5-FA39291A1F4B}" name="Region"/>
    <tableColumn id="4" xr3:uid="{66E1FF7B-5B96-434D-9E4B-D185D150FA72}" name="Country"/>
    <tableColumn id="5" xr3:uid="{58E04A16-8B53-4D17-A667-7734620CE0C7}" name="City"/>
    <tableColumn id="6" xr3:uid="{90D2A599-C9D2-4E16-BC71-A9489EB35072}" name="Product_Category"/>
    <tableColumn id="7" xr3:uid="{D923FB2C-7BB4-4AE9-8694-73783B248642}" name="Product_Name"/>
    <tableColumn id="8" xr3:uid="{E0037767-45DD-4B16-843D-2ACE8347D489}" name="Sales_Rep"/>
    <tableColumn id="9" xr3:uid="{BBE8FE88-57A1-4BEE-B35A-530571BBA70E}" name="Units_Sold"/>
    <tableColumn id="10" xr3:uid="{3FDDB3EC-4E79-4EAB-A891-90335F80245E}" name="Unit_Price"/>
    <tableColumn id="11" xr3:uid="{59F94B58-E182-4083-BF5F-16211CB9F3D0}" name="Total_Revenue" dataDxfId="22"/>
    <tableColumn id="19" xr3:uid="{050AAEA0-FFBB-49B6-B8AB-03A6582C3615}" name="Sales_Channel" dataDxfId="21"/>
    <tableColumn id="12" xr3:uid="{5031AE73-7BFB-4449-A784-8BC0067649F5}" name="Cost_Per_Unit" dataDxfId="20"/>
    <tableColumn id="13" xr3:uid="{4B8D47C7-A501-4887-97C9-27F61A6D4EEC}" name="Total_Cost" dataDxfId="19"/>
    <tableColumn id="14" xr3:uid="{9842FE8E-8995-4391-8B86-B323000AADE9}" name="Profit"/>
    <tableColumn id="15" xr3:uid="{181EF832-8853-4D42-A893-30B96C3D5F55}" name="Profit_Margin" dataDxfId="18" dataCellStyle="Percent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Basis">
  <a:themeElements>
    <a:clrScheme name="Basis">
      <a:dk1>
        <a:srgbClr val="000000"/>
      </a:dk1>
      <a:lt1>
        <a:srgbClr val="FFFFFF"/>
      </a:lt1>
      <a:dk2>
        <a:srgbClr val="565349"/>
      </a:dk2>
      <a:lt2>
        <a:srgbClr val="DDDDDD"/>
      </a:lt2>
      <a:accent1>
        <a:srgbClr val="A6B727"/>
      </a:accent1>
      <a:accent2>
        <a:srgbClr val="DF5327"/>
      </a:accent2>
      <a:accent3>
        <a:srgbClr val="FE9E00"/>
      </a:accent3>
      <a:accent4>
        <a:srgbClr val="418AB3"/>
      </a:accent4>
      <a:accent5>
        <a:srgbClr val="D7D447"/>
      </a:accent5>
      <a:accent6>
        <a:srgbClr val="818183"/>
      </a:accent6>
      <a:hlink>
        <a:srgbClr val="F59E00"/>
      </a:hlink>
      <a:folHlink>
        <a:srgbClr val="B2B2B2"/>
      </a:folHlink>
    </a:clrScheme>
    <a:fontScheme name="Basi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sis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C8983B31-6689-4055-B824-85CFDD50C92D}" sourceName="Order_Date">
  <pivotTables>
    <pivotTable tabId="4" name="PivotTable9"/>
    <pivotTable tabId="4" name="PivotTable1"/>
    <pivotTable tabId="4" name="PivotTable10"/>
    <pivotTable tabId="4" name="PivotTable16"/>
    <pivotTable tabId="4" name="PivotTable2"/>
    <pivotTable tabId="4" name="PivotTable3"/>
    <pivotTable tabId="4" name="PivotTable4"/>
    <pivotTable tabId="4" name="PivotTable6"/>
    <pivotTable tabId="4" name="PivotTable7"/>
  </pivotTables>
  <state minimalRefreshVersion="6" lastRefreshVersion="6" pivotCacheId="1888056562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A19FADD9-72C6-496C-9D64-4AD1529EA049}" cache="NativeTimeline_Order_Date" caption="Order_Date" level="2" selectionLevel="2" scrollPosition="2025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 1" xr10:uid="{1AAA36BA-BD0F-4B2B-8C6C-D3EA883D609E}" cache="NativeTimeline_Order_Date" caption="Order_Date" level="2" selectionLevel="2" scrollPosition="2025-01-01T00:00:00" style="coca-cola"/>
</timeline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187</v>
      </c>
      <c r="J2">
        <v>0.84</v>
      </c>
      <c r="K2">
        <v>157.08000000000001</v>
      </c>
      <c r="L2">
        <v>0.56000000000000005</v>
      </c>
      <c r="M2">
        <v>104.72</v>
      </c>
      <c r="N2">
        <v>52.36</v>
      </c>
      <c r="O2" t="s">
        <v>24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244</v>
      </c>
      <c r="J3">
        <v>1.1599999999999999</v>
      </c>
      <c r="K3">
        <v>283.04000000000002</v>
      </c>
      <c r="L3">
        <v>0.5</v>
      </c>
      <c r="M3">
        <v>122</v>
      </c>
      <c r="N3">
        <v>161.04</v>
      </c>
      <c r="O3" t="s">
        <v>34</v>
      </c>
      <c r="P3" t="s">
        <v>35</v>
      </c>
    </row>
    <row r="4" spans="1:16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31</v>
      </c>
      <c r="G4" t="s">
        <v>41</v>
      </c>
      <c r="H4" t="s">
        <v>42</v>
      </c>
      <c r="I4">
        <v>65</v>
      </c>
      <c r="J4">
        <v>1.07</v>
      </c>
      <c r="K4">
        <v>69.55</v>
      </c>
      <c r="L4">
        <v>0.62</v>
      </c>
      <c r="M4">
        <v>40.299999999999997</v>
      </c>
      <c r="N4">
        <v>29.25</v>
      </c>
      <c r="O4" t="s">
        <v>43</v>
      </c>
      <c r="P4" t="s">
        <v>35</v>
      </c>
    </row>
    <row r="5" spans="1:16" x14ac:dyDescent="0.25">
      <c r="A5" t="s">
        <v>44</v>
      </c>
      <c r="B5" t="s">
        <v>45</v>
      </c>
      <c r="C5" t="s">
        <v>28</v>
      </c>
      <c r="D5" t="s">
        <v>46</v>
      </c>
      <c r="E5" t="s">
        <v>47</v>
      </c>
      <c r="F5" t="s">
        <v>31</v>
      </c>
      <c r="G5" t="s">
        <v>48</v>
      </c>
      <c r="H5" t="s">
        <v>49</v>
      </c>
      <c r="I5">
        <v>76</v>
      </c>
      <c r="J5">
        <v>1.18</v>
      </c>
      <c r="K5">
        <v>89.68</v>
      </c>
      <c r="L5">
        <v>0.55000000000000004</v>
      </c>
      <c r="M5">
        <v>41.8</v>
      </c>
      <c r="N5">
        <v>47.88</v>
      </c>
      <c r="O5" t="s">
        <v>50</v>
      </c>
      <c r="P5" t="s">
        <v>25</v>
      </c>
    </row>
    <row r="6" spans="1:16" x14ac:dyDescent="0.25">
      <c r="A6" t="s">
        <v>51</v>
      </c>
      <c r="B6" t="s">
        <v>52</v>
      </c>
      <c r="C6" t="s">
        <v>38</v>
      </c>
      <c r="D6" t="s">
        <v>53</v>
      </c>
      <c r="E6" t="s">
        <v>54</v>
      </c>
      <c r="F6" t="s">
        <v>31</v>
      </c>
      <c r="G6" t="s">
        <v>41</v>
      </c>
      <c r="H6" t="s">
        <v>42</v>
      </c>
      <c r="I6">
        <v>50</v>
      </c>
      <c r="J6">
        <v>1.35</v>
      </c>
      <c r="K6">
        <v>67.5</v>
      </c>
      <c r="L6">
        <v>0.81</v>
      </c>
      <c r="M6">
        <v>40.5</v>
      </c>
      <c r="N6">
        <v>27</v>
      </c>
      <c r="O6" t="s">
        <v>55</v>
      </c>
      <c r="P6" t="s">
        <v>25</v>
      </c>
    </row>
    <row r="7" spans="1:16" x14ac:dyDescent="0.25">
      <c r="A7" t="s">
        <v>56</v>
      </c>
      <c r="B7" t="s">
        <v>57</v>
      </c>
      <c r="C7" t="s">
        <v>28</v>
      </c>
      <c r="D7" t="s">
        <v>29</v>
      </c>
      <c r="E7" t="s">
        <v>30</v>
      </c>
      <c r="F7" t="s">
        <v>21</v>
      </c>
      <c r="G7" t="s">
        <v>58</v>
      </c>
      <c r="H7" t="s">
        <v>33</v>
      </c>
      <c r="I7">
        <v>110</v>
      </c>
      <c r="J7">
        <v>1.1299999999999999</v>
      </c>
      <c r="K7">
        <v>124.3</v>
      </c>
      <c r="L7">
        <v>0.69</v>
      </c>
      <c r="M7">
        <v>75.900000000000006</v>
      </c>
      <c r="N7">
        <v>48.4</v>
      </c>
      <c r="O7" t="s">
        <v>59</v>
      </c>
      <c r="P7" t="s">
        <v>60</v>
      </c>
    </row>
    <row r="8" spans="1:16" x14ac:dyDescent="0.25">
      <c r="A8" t="s">
        <v>61</v>
      </c>
      <c r="B8" t="s">
        <v>62</v>
      </c>
      <c r="C8" t="s">
        <v>28</v>
      </c>
      <c r="D8" t="s">
        <v>46</v>
      </c>
      <c r="E8" t="s">
        <v>47</v>
      </c>
      <c r="F8" t="s">
        <v>21</v>
      </c>
      <c r="G8" t="s">
        <v>22</v>
      </c>
      <c r="H8" t="s">
        <v>33</v>
      </c>
      <c r="I8">
        <v>150</v>
      </c>
      <c r="J8">
        <v>1.51</v>
      </c>
      <c r="K8">
        <v>226.5</v>
      </c>
      <c r="L8">
        <v>0.92</v>
      </c>
      <c r="M8">
        <v>138</v>
      </c>
      <c r="N8">
        <v>88.5</v>
      </c>
      <c r="O8" t="s">
        <v>63</v>
      </c>
      <c r="P8" t="s">
        <v>25</v>
      </c>
    </row>
    <row r="9" spans="1:16" x14ac:dyDescent="0.25">
      <c r="A9" t="s">
        <v>64</v>
      </c>
      <c r="B9" t="s">
        <v>65</v>
      </c>
      <c r="C9" t="s">
        <v>28</v>
      </c>
      <c r="D9" t="s">
        <v>29</v>
      </c>
      <c r="E9" t="s">
        <v>30</v>
      </c>
      <c r="F9" t="s">
        <v>21</v>
      </c>
      <c r="G9" t="s">
        <v>58</v>
      </c>
      <c r="H9" t="s">
        <v>66</v>
      </c>
      <c r="I9">
        <v>106</v>
      </c>
      <c r="J9">
        <v>0.98</v>
      </c>
      <c r="K9">
        <v>103.88</v>
      </c>
      <c r="L9">
        <v>0.67</v>
      </c>
      <c r="M9">
        <v>71.02</v>
      </c>
      <c r="N9">
        <v>32.86</v>
      </c>
      <c r="O9" t="s">
        <v>67</v>
      </c>
      <c r="P9" t="s">
        <v>25</v>
      </c>
    </row>
    <row r="10" spans="1:16" x14ac:dyDescent="0.25">
      <c r="A10" t="s">
        <v>68</v>
      </c>
      <c r="B10" t="s">
        <v>69</v>
      </c>
      <c r="C10" t="s">
        <v>28</v>
      </c>
      <c r="D10" t="s">
        <v>46</v>
      </c>
      <c r="E10" t="s">
        <v>70</v>
      </c>
      <c r="F10" t="s">
        <v>71</v>
      </c>
      <c r="G10" t="s">
        <v>72</v>
      </c>
      <c r="H10" t="s">
        <v>73</v>
      </c>
      <c r="I10">
        <v>60</v>
      </c>
      <c r="J10">
        <v>1.48</v>
      </c>
      <c r="K10">
        <v>88.8</v>
      </c>
      <c r="L10">
        <v>0.81</v>
      </c>
      <c r="M10">
        <v>48.6</v>
      </c>
      <c r="N10">
        <v>40.200000000000003</v>
      </c>
      <c r="O10" t="s">
        <v>74</v>
      </c>
      <c r="P10" t="s">
        <v>25</v>
      </c>
    </row>
    <row r="11" spans="1:16" x14ac:dyDescent="0.25">
      <c r="A11" t="s">
        <v>75</v>
      </c>
      <c r="B11" t="s">
        <v>76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200</v>
      </c>
      <c r="J11">
        <v>1.52</v>
      </c>
      <c r="K11">
        <v>304</v>
      </c>
      <c r="L11">
        <v>0.81</v>
      </c>
      <c r="M11">
        <v>162</v>
      </c>
      <c r="N11">
        <v>142</v>
      </c>
      <c r="O11" t="s">
        <v>77</v>
      </c>
      <c r="P11" t="s">
        <v>60</v>
      </c>
    </row>
    <row r="12" spans="1:16" x14ac:dyDescent="0.25">
      <c r="A12" t="s">
        <v>78</v>
      </c>
      <c r="B12" t="s">
        <v>79</v>
      </c>
      <c r="C12" t="s">
        <v>38</v>
      </c>
      <c r="D12" t="s">
        <v>39</v>
      </c>
      <c r="E12" t="s">
        <v>40</v>
      </c>
      <c r="F12" t="s">
        <v>31</v>
      </c>
      <c r="G12" t="s">
        <v>48</v>
      </c>
      <c r="H12" t="s">
        <v>80</v>
      </c>
      <c r="I12">
        <v>197</v>
      </c>
      <c r="J12">
        <v>0.85</v>
      </c>
      <c r="K12">
        <v>167.45</v>
      </c>
      <c r="L12">
        <v>0.52</v>
      </c>
      <c r="M12">
        <v>102.44</v>
      </c>
      <c r="N12">
        <v>65.010000000000005</v>
      </c>
      <c r="O12" t="s">
        <v>81</v>
      </c>
      <c r="P12" t="s">
        <v>60</v>
      </c>
    </row>
    <row r="13" spans="1:16" x14ac:dyDescent="0.25">
      <c r="A13" t="s">
        <v>82</v>
      </c>
      <c r="B13" t="s">
        <v>83</v>
      </c>
      <c r="C13" t="s">
        <v>38</v>
      </c>
      <c r="D13" t="s">
        <v>53</v>
      </c>
      <c r="E13" t="s">
        <v>54</v>
      </c>
      <c r="F13" t="s">
        <v>31</v>
      </c>
      <c r="G13" t="s">
        <v>41</v>
      </c>
      <c r="H13" t="s">
        <v>73</v>
      </c>
      <c r="I13">
        <v>185</v>
      </c>
      <c r="J13">
        <v>1.21</v>
      </c>
      <c r="K13">
        <v>223.85</v>
      </c>
      <c r="L13">
        <v>0.57999999999999996</v>
      </c>
      <c r="M13">
        <v>107.3</v>
      </c>
      <c r="N13">
        <v>116.55</v>
      </c>
      <c r="O13" t="s">
        <v>84</v>
      </c>
      <c r="P13" t="s">
        <v>60</v>
      </c>
    </row>
    <row r="14" spans="1:16" x14ac:dyDescent="0.25">
      <c r="A14" t="s">
        <v>85</v>
      </c>
      <c r="B14" t="s">
        <v>86</v>
      </c>
      <c r="C14" t="s">
        <v>18</v>
      </c>
      <c r="D14" t="s">
        <v>87</v>
      </c>
      <c r="E14" t="s">
        <v>88</v>
      </c>
      <c r="F14" t="s">
        <v>21</v>
      </c>
      <c r="G14" t="s">
        <v>22</v>
      </c>
      <c r="H14" t="s">
        <v>80</v>
      </c>
      <c r="I14">
        <v>205</v>
      </c>
      <c r="J14">
        <v>1.44</v>
      </c>
      <c r="K14">
        <v>295.2</v>
      </c>
      <c r="L14">
        <v>0.89</v>
      </c>
      <c r="M14">
        <v>182.45</v>
      </c>
      <c r="N14">
        <v>112.75</v>
      </c>
      <c r="O14" t="s">
        <v>89</v>
      </c>
      <c r="P14" t="s">
        <v>25</v>
      </c>
    </row>
    <row r="15" spans="1:16" x14ac:dyDescent="0.25">
      <c r="A15" t="s">
        <v>90</v>
      </c>
      <c r="B15" t="s">
        <v>65</v>
      </c>
      <c r="C15" t="s">
        <v>28</v>
      </c>
      <c r="D15" t="s">
        <v>46</v>
      </c>
      <c r="E15" t="s">
        <v>47</v>
      </c>
      <c r="F15" t="s">
        <v>21</v>
      </c>
      <c r="G15" t="s">
        <v>91</v>
      </c>
      <c r="H15" t="s">
        <v>42</v>
      </c>
      <c r="I15">
        <v>66</v>
      </c>
      <c r="J15">
        <v>0.97</v>
      </c>
      <c r="K15">
        <v>64.02</v>
      </c>
      <c r="L15">
        <v>0.56000000000000005</v>
      </c>
      <c r="M15">
        <v>36.96</v>
      </c>
      <c r="N15">
        <v>27.06</v>
      </c>
      <c r="O15" t="s">
        <v>92</v>
      </c>
      <c r="P15" t="s">
        <v>60</v>
      </c>
    </row>
    <row r="16" spans="1:16" x14ac:dyDescent="0.25">
      <c r="A16" t="s">
        <v>93</v>
      </c>
      <c r="B16" t="s">
        <v>94</v>
      </c>
      <c r="C16" t="s">
        <v>38</v>
      </c>
      <c r="D16" t="s">
        <v>39</v>
      </c>
      <c r="E16" t="s">
        <v>40</v>
      </c>
      <c r="F16" t="s">
        <v>71</v>
      </c>
      <c r="G16" t="s">
        <v>95</v>
      </c>
      <c r="H16" t="s">
        <v>73</v>
      </c>
      <c r="I16">
        <v>208</v>
      </c>
      <c r="J16">
        <v>1.19</v>
      </c>
      <c r="K16">
        <v>247.52</v>
      </c>
      <c r="L16">
        <v>0.78</v>
      </c>
      <c r="M16">
        <v>162.24</v>
      </c>
      <c r="N16">
        <v>85.28</v>
      </c>
      <c r="O16" t="s">
        <v>96</v>
      </c>
      <c r="P16" t="s">
        <v>25</v>
      </c>
    </row>
    <row r="17" spans="1:16" x14ac:dyDescent="0.25">
      <c r="A17" t="s">
        <v>97</v>
      </c>
      <c r="B17" t="s">
        <v>98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 t="s">
        <v>49</v>
      </c>
      <c r="I17">
        <v>240</v>
      </c>
      <c r="J17">
        <v>1.38</v>
      </c>
      <c r="K17">
        <v>331.2</v>
      </c>
      <c r="L17">
        <v>0.77</v>
      </c>
      <c r="M17">
        <v>184.8</v>
      </c>
      <c r="N17">
        <v>146.4</v>
      </c>
      <c r="O17" t="s">
        <v>99</v>
      </c>
      <c r="P17" t="s">
        <v>60</v>
      </c>
    </row>
    <row r="18" spans="1:16" x14ac:dyDescent="0.25">
      <c r="A18" t="s">
        <v>100</v>
      </c>
      <c r="B18" t="s">
        <v>101</v>
      </c>
      <c r="C18" t="s">
        <v>18</v>
      </c>
      <c r="D18" t="s">
        <v>19</v>
      </c>
      <c r="E18" t="s">
        <v>20</v>
      </c>
      <c r="F18" t="s">
        <v>71</v>
      </c>
      <c r="G18" t="s">
        <v>72</v>
      </c>
      <c r="H18" t="s">
        <v>80</v>
      </c>
      <c r="I18">
        <v>91</v>
      </c>
      <c r="J18">
        <v>1.03</v>
      </c>
      <c r="K18">
        <v>93.73</v>
      </c>
      <c r="L18">
        <v>0.5</v>
      </c>
      <c r="M18">
        <v>45.5</v>
      </c>
      <c r="N18">
        <v>48.23</v>
      </c>
      <c r="O18" t="s">
        <v>102</v>
      </c>
      <c r="P18" t="s">
        <v>60</v>
      </c>
    </row>
    <row r="19" spans="1:16" x14ac:dyDescent="0.25">
      <c r="A19" t="s">
        <v>103</v>
      </c>
      <c r="B19" t="s">
        <v>104</v>
      </c>
      <c r="C19" t="s">
        <v>18</v>
      </c>
      <c r="D19" t="s">
        <v>87</v>
      </c>
      <c r="E19" t="s">
        <v>88</v>
      </c>
      <c r="F19" t="s">
        <v>21</v>
      </c>
      <c r="G19" t="s">
        <v>91</v>
      </c>
      <c r="H19" t="s">
        <v>105</v>
      </c>
      <c r="I19">
        <v>129</v>
      </c>
      <c r="J19">
        <v>1.53</v>
      </c>
      <c r="K19">
        <v>197.37</v>
      </c>
      <c r="L19">
        <v>0.87</v>
      </c>
      <c r="M19">
        <v>112.23</v>
      </c>
      <c r="N19">
        <v>85.14</v>
      </c>
      <c r="O19" t="s">
        <v>106</v>
      </c>
      <c r="P19" t="s">
        <v>107</v>
      </c>
    </row>
    <row r="20" spans="1:16" x14ac:dyDescent="0.25">
      <c r="A20" t="s">
        <v>108</v>
      </c>
      <c r="B20" t="s">
        <v>109</v>
      </c>
      <c r="C20" t="s">
        <v>28</v>
      </c>
      <c r="D20" t="s">
        <v>46</v>
      </c>
      <c r="E20" t="s">
        <v>47</v>
      </c>
      <c r="F20" t="s">
        <v>71</v>
      </c>
      <c r="G20" t="s">
        <v>72</v>
      </c>
      <c r="H20" t="s">
        <v>66</v>
      </c>
      <c r="I20">
        <v>61</v>
      </c>
      <c r="J20">
        <v>1.24</v>
      </c>
      <c r="K20">
        <v>75.64</v>
      </c>
      <c r="L20">
        <v>0.83</v>
      </c>
      <c r="M20">
        <v>50.63</v>
      </c>
      <c r="N20">
        <v>25.01</v>
      </c>
      <c r="O20" t="s">
        <v>110</v>
      </c>
      <c r="P20" t="s">
        <v>60</v>
      </c>
    </row>
    <row r="21" spans="1:16" x14ac:dyDescent="0.25">
      <c r="A21" t="s">
        <v>111</v>
      </c>
      <c r="B21" t="s">
        <v>112</v>
      </c>
      <c r="C21" t="s">
        <v>38</v>
      </c>
      <c r="D21" t="s">
        <v>53</v>
      </c>
      <c r="E21" t="s">
        <v>54</v>
      </c>
      <c r="F21" t="s">
        <v>71</v>
      </c>
      <c r="G21" t="s">
        <v>72</v>
      </c>
      <c r="H21" t="s">
        <v>80</v>
      </c>
      <c r="I21">
        <v>164</v>
      </c>
      <c r="J21">
        <v>0.92</v>
      </c>
      <c r="L21">
        <v>0.62</v>
      </c>
      <c r="M21">
        <v>101.68</v>
      </c>
      <c r="N21">
        <v>49.2</v>
      </c>
      <c r="O21" t="s">
        <v>113</v>
      </c>
      <c r="P21" t="s">
        <v>35</v>
      </c>
    </row>
    <row r="22" spans="1:16" x14ac:dyDescent="0.25">
      <c r="A22" t="s">
        <v>114</v>
      </c>
      <c r="B22" t="s">
        <v>83</v>
      </c>
      <c r="C22" t="s">
        <v>38</v>
      </c>
      <c r="D22" t="s">
        <v>53</v>
      </c>
      <c r="E22" t="s">
        <v>54</v>
      </c>
      <c r="F22" t="s">
        <v>21</v>
      </c>
      <c r="G22" t="s">
        <v>91</v>
      </c>
      <c r="H22" t="s">
        <v>105</v>
      </c>
      <c r="I22">
        <v>108</v>
      </c>
      <c r="J22">
        <v>1.47</v>
      </c>
      <c r="K22">
        <v>158.76</v>
      </c>
      <c r="L22">
        <v>1</v>
      </c>
      <c r="M22">
        <v>108</v>
      </c>
      <c r="N22">
        <v>50.76</v>
      </c>
      <c r="O22" t="s">
        <v>115</v>
      </c>
      <c r="P22" t="s">
        <v>35</v>
      </c>
    </row>
    <row r="23" spans="1:16" x14ac:dyDescent="0.25">
      <c r="A23" t="s">
        <v>116</v>
      </c>
      <c r="B23" t="s">
        <v>117</v>
      </c>
      <c r="C23" t="s">
        <v>28</v>
      </c>
      <c r="D23" t="s">
        <v>46</v>
      </c>
      <c r="E23" t="s">
        <v>70</v>
      </c>
      <c r="F23" t="s">
        <v>21</v>
      </c>
      <c r="G23" t="s">
        <v>58</v>
      </c>
      <c r="H23" t="s">
        <v>49</v>
      </c>
      <c r="I23">
        <v>242</v>
      </c>
      <c r="J23">
        <v>1.21</v>
      </c>
      <c r="K23">
        <v>292.82</v>
      </c>
      <c r="L23">
        <v>0.54</v>
      </c>
      <c r="M23">
        <v>130.68</v>
      </c>
      <c r="N23">
        <v>162.13999999999999</v>
      </c>
      <c r="O23" t="s">
        <v>118</v>
      </c>
      <c r="P23" t="s">
        <v>25</v>
      </c>
    </row>
    <row r="24" spans="1:16" x14ac:dyDescent="0.25">
      <c r="A24" t="s">
        <v>119</v>
      </c>
      <c r="B24" t="s">
        <v>120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H24" t="s">
        <v>49</v>
      </c>
      <c r="I24">
        <v>58</v>
      </c>
      <c r="J24">
        <v>1.32</v>
      </c>
      <c r="K24">
        <v>76.56</v>
      </c>
      <c r="L24">
        <v>0.84</v>
      </c>
      <c r="M24">
        <v>48.72</v>
      </c>
      <c r="N24">
        <v>27.84</v>
      </c>
      <c r="O24" t="s">
        <v>121</v>
      </c>
      <c r="P24" t="s">
        <v>60</v>
      </c>
    </row>
    <row r="25" spans="1:16" x14ac:dyDescent="0.25">
      <c r="A25" t="s">
        <v>122</v>
      </c>
      <c r="B25" t="s">
        <v>123</v>
      </c>
      <c r="C25" t="s">
        <v>38</v>
      </c>
      <c r="D25" t="s">
        <v>39</v>
      </c>
      <c r="E25" t="s">
        <v>40</v>
      </c>
      <c r="F25" t="s">
        <v>31</v>
      </c>
      <c r="G25" t="s">
        <v>32</v>
      </c>
      <c r="H25" t="s">
        <v>66</v>
      </c>
      <c r="I25">
        <v>81</v>
      </c>
      <c r="J25">
        <v>1.46</v>
      </c>
      <c r="K25">
        <v>118.26</v>
      </c>
      <c r="L25">
        <v>0.9</v>
      </c>
      <c r="M25">
        <v>72.900000000000006</v>
      </c>
      <c r="N25">
        <v>45.36</v>
      </c>
      <c r="O25" t="s">
        <v>124</v>
      </c>
      <c r="P25" t="s">
        <v>25</v>
      </c>
    </row>
    <row r="26" spans="1:16" x14ac:dyDescent="0.25">
      <c r="A26" t="s">
        <v>125</v>
      </c>
      <c r="B26" t="s">
        <v>126</v>
      </c>
      <c r="C26" t="s">
        <v>38</v>
      </c>
      <c r="D26" t="s">
        <v>53</v>
      </c>
      <c r="E26" t="s">
        <v>54</v>
      </c>
      <c r="F26" t="s">
        <v>21</v>
      </c>
      <c r="G26" t="s">
        <v>22</v>
      </c>
      <c r="H26" t="s">
        <v>105</v>
      </c>
      <c r="I26">
        <v>151</v>
      </c>
      <c r="J26">
        <v>1.18</v>
      </c>
      <c r="K26">
        <v>178.18</v>
      </c>
      <c r="L26">
        <v>0.78</v>
      </c>
      <c r="M26">
        <v>117.78</v>
      </c>
      <c r="N26">
        <v>60.4</v>
      </c>
      <c r="O26" t="s">
        <v>127</v>
      </c>
      <c r="P26" t="s">
        <v>35</v>
      </c>
    </row>
    <row r="27" spans="1:16" x14ac:dyDescent="0.25">
      <c r="A27" t="s">
        <v>128</v>
      </c>
      <c r="B27" t="s">
        <v>129</v>
      </c>
      <c r="C27" t="s">
        <v>28</v>
      </c>
      <c r="D27" t="s">
        <v>46</v>
      </c>
      <c r="E27" t="s">
        <v>70</v>
      </c>
      <c r="F27" t="s">
        <v>21</v>
      </c>
      <c r="G27" t="s">
        <v>58</v>
      </c>
      <c r="H27" t="s">
        <v>49</v>
      </c>
      <c r="I27">
        <v>111</v>
      </c>
      <c r="J27">
        <v>1.46</v>
      </c>
      <c r="K27">
        <v>162.06</v>
      </c>
      <c r="L27">
        <v>0.71</v>
      </c>
      <c r="M27">
        <v>78.81</v>
      </c>
      <c r="N27">
        <v>83.25</v>
      </c>
      <c r="O27" t="s">
        <v>130</v>
      </c>
      <c r="P27" t="s">
        <v>60</v>
      </c>
    </row>
    <row r="28" spans="1:16" x14ac:dyDescent="0.25">
      <c r="A28" t="s">
        <v>131</v>
      </c>
      <c r="B28" t="s">
        <v>132</v>
      </c>
      <c r="C28" t="s">
        <v>18</v>
      </c>
      <c r="D28" t="s">
        <v>19</v>
      </c>
      <c r="E28" t="s">
        <v>20</v>
      </c>
      <c r="F28" t="s">
        <v>71</v>
      </c>
      <c r="G28" t="s">
        <v>95</v>
      </c>
      <c r="H28" t="s">
        <v>66</v>
      </c>
      <c r="I28">
        <v>107</v>
      </c>
      <c r="J28">
        <v>1.36</v>
      </c>
      <c r="K28">
        <v>145.52000000000001</v>
      </c>
      <c r="L28">
        <v>0.67</v>
      </c>
      <c r="M28">
        <v>71.69</v>
      </c>
      <c r="N28">
        <v>73.83</v>
      </c>
      <c r="O28" t="s">
        <v>133</v>
      </c>
      <c r="P28" t="s">
        <v>35</v>
      </c>
    </row>
    <row r="29" spans="1:16" x14ac:dyDescent="0.25">
      <c r="A29" t="s">
        <v>134</v>
      </c>
      <c r="B29" t="s">
        <v>135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H29" t="s">
        <v>23</v>
      </c>
      <c r="I29">
        <v>53</v>
      </c>
      <c r="J29">
        <v>1.24</v>
      </c>
      <c r="K29">
        <v>65.72</v>
      </c>
      <c r="L29">
        <v>0.63</v>
      </c>
      <c r="M29">
        <v>33.39</v>
      </c>
      <c r="N29">
        <v>32.33</v>
      </c>
      <c r="O29" t="s">
        <v>136</v>
      </c>
      <c r="P29" t="s">
        <v>60</v>
      </c>
    </row>
    <row r="30" spans="1:16" x14ac:dyDescent="0.25">
      <c r="A30" t="s">
        <v>137</v>
      </c>
      <c r="B30" t="s">
        <v>138</v>
      </c>
      <c r="C30" t="s">
        <v>18</v>
      </c>
      <c r="D30" t="s">
        <v>87</v>
      </c>
      <c r="E30" t="s">
        <v>88</v>
      </c>
      <c r="F30" t="s">
        <v>21</v>
      </c>
      <c r="G30" t="s">
        <v>91</v>
      </c>
      <c r="H30" t="s">
        <v>23</v>
      </c>
      <c r="I30">
        <v>192</v>
      </c>
      <c r="J30">
        <v>0.98</v>
      </c>
      <c r="K30">
        <v>188.16</v>
      </c>
      <c r="L30">
        <v>0.41</v>
      </c>
      <c r="M30">
        <v>78.72</v>
      </c>
      <c r="N30">
        <v>109.44</v>
      </c>
      <c r="O30" t="s">
        <v>139</v>
      </c>
      <c r="P30" t="s">
        <v>60</v>
      </c>
    </row>
    <row r="31" spans="1:16" x14ac:dyDescent="0.25">
      <c r="A31" t="s">
        <v>140</v>
      </c>
      <c r="B31" t="s">
        <v>141</v>
      </c>
      <c r="C31" t="s">
        <v>38</v>
      </c>
      <c r="D31" t="s">
        <v>39</v>
      </c>
      <c r="E31" t="s">
        <v>40</v>
      </c>
      <c r="F31" t="s">
        <v>31</v>
      </c>
      <c r="G31" t="s">
        <v>48</v>
      </c>
      <c r="H31" t="s">
        <v>33</v>
      </c>
      <c r="I31">
        <v>92</v>
      </c>
      <c r="J31">
        <v>1.53</v>
      </c>
      <c r="K31">
        <v>140.76</v>
      </c>
      <c r="L31">
        <v>0.69</v>
      </c>
      <c r="M31">
        <v>63.48</v>
      </c>
      <c r="N31">
        <v>77.28</v>
      </c>
      <c r="O31" t="s">
        <v>142</v>
      </c>
      <c r="P31" t="s">
        <v>35</v>
      </c>
    </row>
    <row r="32" spans="1:16" x14ac:dyDescent="0.25">
      <c r="A32" t="s">
        <v>143</v>
      </c>
      <c r="B32" t="s">
        <v>144</v>
      </c>
      <c r="C32" t="s">
        <v>38</v>
      </c>
      <c r="D32" t="s">
        <v>53</v>
      </c>
      <c r="E32" t="s">
        <v>54</v>
      </c>
      <c r="F32" t="s">
        <v>71</v>
      </c>
      <c r="G32" t="s">
        <v>95</v>
      </c>
      <c r="H32" t="s">
        <v>105</v>
      </c>
      <c r="I32">
        <v>141</v>
      </c>
      <c r="J32">
        <v>1.53</v>
      </c>
      <c r="K32">
        <v>215.73</v>
      </c>
      <c r="L32">
        <v>0.93</v>
      </c>
      <c r="M32">
        <v>131.13</v>
      </c>
      <c r="N32">
        <v>84.6</v>
      </c>
      <c r="O32" t="s">
        <v>145</v>
      </c>
      <c r="P32" t="s">
        <v>35</v>
      </c>
    </row>
    <row r="33" spans="1:16" x14ac:dyDescent="0.25">
      <c r="A33" t="s">
        <v>146</v>
      </c>
      <c r="B33" t="s">
        <v>27</v>
      </c>
      <c r="C33" t="s">
        <v>38</v>
      </c>
      <c r="D33" t="s">
        <v>39</v>
      </c>
      <c r="E33" t="s">
        <v>40</v>
      </c>
      <c r="F33" t="s">
        <v>31</v>
      </c>
      <c r="G33" t="s">
        <v>32</v>
      </c>
      <c r="H33" t="s">
        <v>66</v>
      </c>
      <c r="I33">
        <v>128</v>
      </c>
      <c r="J33">
        <v>1.5</v>
      </c>
      <c r="K33">
        <v>192</v>
      </c>
      <c r="L33">
        <v>0.77</v>
      </c>
      <c r="M33">
        <v>98.56</v>
      </c>
      <c r="N33">
        <v>93.44</v>
      </c>
      <c r="O33" t="s">
        <v>147</v>
      </c>
      <c r="P33" t="s">
        <v>35</v>
      </c>
    </row>
    <row r="34" spans="1:16" x14ac:dyDescent="0.25">
      <c r="A34" t="s">
        <v>148</v>
      </c>
      <c r="B34" t="s">
        <v>149</v>
      </c>
      <c r="C34" t="s">
        <v>18</v>
      </c>
      <c r="D34" t="s">
        <v>19</v>
      </c>
      <c r="E34" t="s">
        <v>20</v>
      </c>
      <c r="F34" t="s">
        <v>21</v>
      </c>
      <c r="G34" t="s">
        <v>91</v>
      </c>
      <c r="H34" t="s">
        <v>33</v>
      </c>
      <c r="I34">
        <v>229</v>
      </c>
      <c r="J34">
        <v>0.86</v>
      </c>
      <c r="K34">
        <v>196.94</v>
      </c>
      <c r="L34">
        <v>0.41</v>
      </c>
      <c r="M34">
        <v>93.89</v>
      </c>
      <c r="N34">
        <v>103.05</v>
      </c>
      <c r="O34" t="s">
        <v>150</v>
      </c>
      <c r="P34" t="s">
        <v>60</v>
      </c>
    </row>
    <row r="35" spans="1:16" x14ac:dyDescent="0.25">
      <c r="A35" t="s">
        <v>151</v>
      </c>
      <c r="B35" t="s">
        <v>120</v>
      </c>
      <c r="C35" t="s">
        <v>28</v>
      </c>
      <c r="D35" t="s">
        <v>46</v>
      </c>
      <c r="E35" t="s">
        <v>70</v>
      </c>
      <c r="F35" t="s">
        <v>21</v>
      </c>
      <c r="G35" t="s">
        <v>22</v>
      </c>
      <c r="H35" t="s">
        <v>73</v>
      </c>
      <c r="I35">
        <v>221</v>
      </c>
      <c r="J35">
        <v>1.52</v>
      </c>
      <c r="K35">
        <v>335.92</v>
      </c>
      <c r="L35">
        <v>0.77</v>
      </c>
      <c r="M35">
        <v>170.17</v>
      </c>
      <c r="N35">
        <v>165.75</v>
      </c>
      <c r="O35" t="s">
        <v>152</v>
      </c>
      <c r="P35" t="s">
        <v>35</v>
      </c>
    </row>
    <row r="36" spans="1:16" x14ac:dyDescent="0.25">
      <c r="A36" t="s">
        <v>153</v>
      </c>
      <c r="B36" t="s">
        <v>117</v>
      </c>
      <c r="C36" t="s">
        <v>18</v>
      </c>
      <c r="D36" t="s">
        <v>87</v>
      </c>
      <c r="E36" t="s">
        <v>88</v>
      </c>
      <c r="F36" t="s">
        <v>21</v>
      </c>
      <c r="G36" t="s">
        <v>22</v>
      </c>
      <c r="H36" t="s">
        <v>80</v>
      </c>
      <c r="I36">
        <v>176</v>
      </c>
      <c r="J36">
        <v>1.21</v>
      </c>
      <c r="K36">
        <v>212.96</v>
      </c>
      <c r="L36">
        <v>0.68</v>
      </c>
      <c r="M36">
        <v>119.68</v>
      </c>
      <c r="N36">
        <v>93.28</v>
      </c>
      <c r="O36" t="s">
        <v>154</v>
      </c>
      <c r="P36" t="s">
        <v>60</v>
      </c>
    </row>
    <row r="37" spans="1:16" x14ac:dyDescent="0.25">
      <c r="A37" t="s">
        <v>155</v>
      </c>
      <c r="B37" t="s">
        <v>156</v>
      </c>
      <c r="C37" t="s">
        <v>28</v>
      </c>
      <c r="D37" t="s">
        <v>46</v>
      </c>
      <c r="E37" t="s">
        <v>70</v>
      </c>
      <c r="F37" t="s">
        <v>21</v>
      </c>
      <c r="G37" t="s">
        <v>58</v>
      </c>
      <c r="H37" t="s">
        <v>80</v>
      </c>
      <c r="I37">
        <v>89</v>
      </c>
      <c r="J37">
        <v>1.17</v>
      </c>
      <c r="K37">
        <v>104.13</v>
      </c>
      <c r="L37">
        <v>0.72</v>
      </c>
      <c r="M37">
        <v>64.08</v>
      </c>
      <c r="N37">
        <v>40.049999999999997</v>
      </c>
      <c r="O37" t="s">
        <v>157</v>
      </c>
      <c r="P37" t="s">
        <v>158</v>
      </c>
    </row>
    <row r="38" spans="1:16" x14ac:dyDescent="0.25">
      <c r="A38" t="s">
        <v>159</v>
      </c>
      <c r="B38" t="s">
        <v>160</v>
      </c>
      <c r="C38" t="s">
        <v>28</v>
      </c>
      <c r="D38" t="s">
        <v>29</v>
      </c>
      <c r="E38" t="s">
        <v>30</v>
      </c>
      <c r="F38" t="s">
        <v>31</v>
      </c>
      <c r="G38" t="s">
        <v>48</v>
      </c>
      <c r="H38" t="s">
        <v>33</v>
      </c>
      <c r="I38">
        <v>222</v>
      </c>
      <c r="J38">
        <v>0.95</v>
      </c>
      <c r="K38">
        <v>210.9</v>
      </c>
      <c r="L38">
        <v>0.56999999999999995</v>
      </c>
      <c r="M38">
        <v>126.54</v>
      </c>
      <c r="N38">
        <v>84.36</v>
      </c>
      <c r="O38" t="s">
        <v>55</v>
      </c>
      <c r="P38" t="s">
        <v>35</v>
      </c>
    </row>
    <row r="39" spans="1:16" x14ac:dyDescent="0.25">
      <c r="A39" t="s">
        <v>161</v>
      </c>
      <c r="B39" t="s">
        <v>162</v>
      </c>
      <c r="C39" t="s">
        <v>28</v>
      </c>
      <c r="D39" t="s">
        <v>46</v>
      </c>
      <c r="E39" t="s">
        <v>70</v>
      </c>
      <c r="F39" t="s">
        <v>31</v>
      </c>
      <c r="G39" t="s">
        <v>32</v>
      </c>
      <c r="H39" t="s">
        <v>23</v>
      </c>
      <c r="I39">
        <v>177</v>
      </c>
      <c r="J39">
        <v>1.28</v>
      </c>
      <c r="K39">
        <v>226.56</v>
      </c>
      <c r="L39">
        <v>0.66</v>
      </c>
      <c r="M39">
        <v>116.82</v>
      </c>
      <c r="N39">
        <v>109.74</v>
      </c>
      <c r="O39" t="s">
        <v>163</v>
      </c>
      <c r="P39" t="s">
        <v>60</v>
      </c>
    </row>
    <row r="40" spans="1:16" x14ac:dyDescent="0.25">
      <c r="A40" t="s">
        <v>164</v>
      </c>
      <c r="B40" t="s">
        <v>165</v>
      </c>
      <c r="C40" t="s">
        <v>18</v>
      </c>
      <c r="D40" t="s">
        <v>19</v>
      </c>
      <c r="E40" t="s">
        <v>20</v>
      </c>
      <c r="F40" t="s">
        <v>31</v>
      </c>
      <c r="G40" t="s">
        <v>48</v>
      </c>
      <c r="H40" t="s">
        <v>105</v>
      </c>
      <c r="I40">
        <v>182</v>
      </c>
      <c r="J40">
        <v>1.07</v>
      </c>
      <c r="K40">
        <v>194.74</v>
      </c>
      <c r="L40">
        <v>0.74</v>
      </c>
      <c r="M40">
        <v>134.68</v>
      </c>
      <c r="N40">
        <v>60.06</v>
      </c>
      <c r="O40" t="s">
        <v>166</v>
      </c>
      <c r="P40" t="s">
        <v>25</v>
      </c>
    </row>
    <row r="41" spans="1:16" x14ac:dyDescent="0.25">
      <c r="A41" t="s">
        <v>167</v>
      </c>
      <c r="B41" t="s">
        <v>168</v>
      </c>
      <c r="C41" t="s">
        <v>28</v>
      </c>
      <c r="D41" t="s">
        <v>46</v>
      </c>
      <c r="E41" t="s">
        <v>47</v>
      </c>
      <c r="F41" t="s">
        <v>71</v>
      </c>
      <c r="G41" t="s">
        <v>72</v>
      </c>
      <c r="H41" t="s">
        <v>49</v>
      </c>
      <c r="I41">
        <v>99</v>
      </c>
      <c r="J41">
        <v>1</v>
      </c>
      <c r="L41">
        <v>0.68</v>
      </c>
      <c r="M41">
        <v>67.319999999999993</v>
      </c>
      <c r="N41">
        <v>31.68</v>
      </c>
      <c r="O41" t="s">
        <v>115</v>
      </c>
      <c r="P41" t="s">
        <v>25</v>
      </c>
    </row>
    <row r="42" spans="1:16" x14ac:dyDescent="0.25">
      <c r="A42" t="s">
        <v>169</v>
      </c>
      <c r="B42" t="s">
        <v>170</v>
      </c>
      <c r="C42" t="s">
        <v>18</v>
      </c>
      <c r="D42" t="s">
        <v>87</v>
      </c>
      <c r="E42" t="s">
        <v>88</v>
      </c>
      <c r="F42" t="s">
        <v>31</v>
      </c>
      <c r="G42" t="s">
        <v>48</v>
      </c>
      <c r="H42" t="s">
        <v>33</v>
      </c>
      <c r="I42">
        <v>97</v>
      </c>
      <c r="J42">
        <v>1.37</v>
      </c>
      <c r="K42">
        <v>132.88999999999999</v>
      </c>
      <c r="L42">
        <v>0.9</v>
      </c>
      <c r="M42">
        <v>87.3</v>
      </c>
      <c r="N42">
        <v>45.59</v>
      </c>
      <c r="O42" t="s">
        <v>171</v>
      </c>
      <c r="P42" t="s">
        <v>25</v>
      </c>
    </row>
    <row r="43" spans="1:16" x14ac:dyDescent="0.25">
      <c r="A43" t="s">
        <v>172</v>
      </c>
      <c r="B43" t="s">
        <v>173</v>
      </c>
      <c r="C43" t="s">
        <v>38</v>
      </c>
      <c r="D43" t="s">
        <v>39</v>
      </c>
      <c r="E43" t="s">
        <v>40</v>
      </c>
      <c r="F43" t="s">
        <v>31</v>
      </c>
      <c r="G43" t="s">
        <v>32</v>
      </c>
      <c r="H43" t="s">
        <v>80</v>
      </c>
      <c r="I43">
        <v>123</v>
      </c>
      <c r="J43">
        <v>1.43</v>
      </c>
      <c r="K43">
        <v>175.89</v>
      </c>
      <c r="L43">
        <v>0.76</v>
      </c>
      <c r="M43">
        <v>93.48</v>
      </c>
      <c r="N43">
        <v>82.41</v>
      </c>
      <c r="O43" t="s">
        <v>174</v>
      </c>
      <c r="P43" t="s">
        <v>35</v>
      </c>
    </row>
    <row r="44" spans="1:16" x14ac:dyDescent="0.25">
      <c r="A44" t="s">
        <v>175</v>
      </c>
      <c r="B44" t="s">
        <v>176</v>
      </c>
      <c r="C44" t="s">
        <v>38</v>
      </c>
      <c r="D44" t="s">
        <v>39</v>
      </c>
      <c r="E44" t="s">
        <v>40</v>
      </c>
      <c r="F44" t="s">
        <v>31</v>
      </c>
      <c r="G44" t="s">
        <v>48</v>
      </c>
      <c r="H44" t="s">
        <v>80</v>
      </c>
      <c r="I44">
        <v>108</v>
      </c>
      <c r="J44">
        <v>1.59</v>
      </c>
      <c r="K44">
        <v>171.72</v>
      </c>
      <c r="L44">
        <v>0.73</v>
      </c>
      <c r="M44">
        <v>78.84</v>
      </c>
      <c r="N44">
        <v>92.88</v>
      </c>
      <c r="O44" t="s">
        <v>177</v>
      </c>
      <c r="P44" t="s">
        <v>35</v>
      </c>
    </row>
    <row r="45" spans="1:16" x14ac:dyDescent="0.25">
      <c r="A45" t="s">
        <v>178</v>
      </c>
      <c r="B45" t="s">
        <v>52</v>
      </c>
      <c r="C45" t="s">
        <v>38</v>
      </c>
      <c r="D45" t="s">
        <v>39</v>
      </c>
      <c r="E45" t="s">
        <v>40</v>
      </c>
      <c r="F45" t="s">
        <v>21</v>
      </c>
      <c r="G45" t="s">
        <v>22</v>
      </c>
      <c r="H45" t="s">
        <v>42</v>
      </c>
      <c r="I45">
        <v>175</v>
      </c>
      <c r="J45">
        <v>1.37</v>
      </c>
      <c r="K45">
        <v>239.75</v>
      </c>
      <c r="L45">
        <v>0.75</v>
      </c>
      <c r="M45">
        <v>131.25</v>
      </c>
      <c r="N45">
        <v>108.5</v>
      </c>
      <c r="O45" t="s">
        <v>74</v>
      </c>
      <c r="P45" t="s">
        <v>60</v>
      </c>
    </row>
    <row r="46" spans="1:16" x14ac:dyDescent="0.25">
      <c r="A46" t="s">
        <v>179</v>
      </c>
      <c r="B46" t="s">
        <v>180</v>
      </c>
      <c r="C46" t="s">
        <v>18</v>
      </c>
      <c r="D46" t="s">
        <v>87</v>
      </c>
      <c r="E46" t="s">
        <v>88</v>
      </c>
      <c r="F46" t="s">
        <v>31</v>
      </c>
      <c r="G46" t="s">
        <v>48</v>
      </c>
      <c r="H46" t="s">
        <v>66</v>
      </c>
      <c r="I46">
        <v>227</v>
      </c>
      <c r="J46">
        <v>1.19</v>
      </c>
      <c r="K46">
        <v>270.13</v>
      </c>
      <c r="L46">
        <v>0.78</v>
      </c>
      <c r="M46">
        <v>177.06</v>
      </c>
      <c r="N46">
        <v>93.07</v>
      </c>
      <c r="O46" t="s">
        <v>96</v>
      </c>
      <c r="P46" t="s">
        <v>25</v>
      </c>
    </row>
    <row r="47" spans="1:16" x14ac:dyDescent="0.25">
      <c r="A47" t="s">
        <v>181</v>
      </c>
      <c r="B47" t="s">
        <v>182</v>
      </c>
      <c r="C47" t="s">
        <v>18</v>
      </c>
      <c r="D47" t="s">
        <v>87</v>
      </c>
      <c r="E47" t="s">
        <v>88</v>
      </c>
      <c r="F47" t="s">
        <v>31</v>
      </c>
      <c r="G47" t="s">
        <v>48</v>
      </c>
      <c r="H47" t="s">
        <v>66</v>
      </c>
      <c r="I47">
        <v>72</v>
      </c>
      <c r="J47">
        <v>0.8</v>
      </c>
      <c r="K47">
        <v>57.6</v>
      </c>
      <c r="L47">
        <v>0.41</v>
      </c>
      <c r="M47">
        <v>29.52</v>
      </c>
      <c r="N47">
        <v>28.08</v>
      </c>
      <c r="O47" t="s">
        <v>147</v>
      </c>
      <c r="P47" t="s">
        <v>25</v>
      </c>
    </row>
    <row r="48" spans="1:16" x14ac:dyDescent="0.25">
      <c r="A48" t="s">
        <v>183</v>
      </c>
      <c r="B48" t="s">
        <v>184</v>
      </c>
      <c r="C48" t="s">
        <v>18</v>
      </c>
      <c r="D48" t="s">
        <v>87</v>
      </c>
      <c r="E48" t="s">
        <v>88</v>
      </c>
      <c r="F48" t="s">
        <v>71</v>
      </c>
      <c r="G48" t="s">
        <v>95</v>
      </c>
      <c r="H48" t="s">
        <v>66</v>
      </c>
      <c r="I48">
        <v>154</v>
      </c>
      <c r="J48">
        <v>0.88</v>
      </c>
      <c r="K48">
        <v>135.52000000000001</v>
      </c>
      <c r="L48">
        <v>0.4</v>
      </c>
      <c r="M48">
        <v>61.6</v>
      </c>
      <c r="N48">
        <v>73.92</v>
      </c>
      <c r="O48" t="s">
        <v>185</v>
      </c>
      <c r="P48" t="s">
        <v>35</v>
      </c>
    </row>
    <row r="49" spans="1:16" x14ac:dyDescent="0.25">
      <c r="A49" t="s">
        <v>186</v>
      </c>
      <c r="B49" t="s">
        <v>187</v>
      </c>
      <c r="C49" t="s">
        <v>38</v>
      </c>
      <c r="D49" t="s">
        <v>53</v>
      </c>
      <c r="E49" t="s">
        <v>54</v>
      </c>
      <c r="F49" t="s">
        <v>21</v>
      </c>
      <c r="G49" t="s">
        <v>58</v>
      </c>
      <c r="H49" t="s">
        <v>49</v>
      </c>
      <c r="I49">
        <v>176</v>
      </c>
      <c r="J49">
        <v>1</v>
      </c>
      <c r="K49">
        <v>176</v>
      </c>
      <c r="L49">
        <v>0.6</v>
      </c>
      <c r="M49">
        <v>105.6</v>
      </c>
      <c r="N49">
        <v>70.400000000000006</v>
      </c>
      <c r="O49" t="s">
        <v>55</v>
      </c>
      <c r="P49" t="s">
        <v>60</v>
      </c>
    </row>
    <row r="50" spans="1:16" x14ac:dyDescent="0.25">
      <c r="A50" t="s">
        <v>188</v>
      </c>
      <c r="B50" t="s">
        <v>189</v>
      </c>
      <c r="C50" t="s">
        <v>38</v>
      </c>
      <c r="D50" t="s">
        <v>39</v>
      </c>
      <c r="E50" t="s">
        <v>40</v>
      </c>
      <c r="F50" t="s">
        <v>71</v>
      </c>
      <c r="G50" t="s">
        <v>72</v>
      </c>
      <c r="H50" t="s">
        <v>33</v>
      </c>
      <c r="I50">
        <v>191</v>
      </c>
      <c r="J50">
        <v>1.19</v>
      </c>
      <c r="K50">
        <v>227.29</v>
      </c>
      <c r="L50">
        <v>0.77</v>
      </c>
      <c r="M50">
        <v>147.07</v>
      </c>
      <c r="N50">
        <v>80.22</v>
      </c>
      <c r="O50" t="s">
        <v>190</v>
      </c>
      <c r="P50" t="s">
        <v>35</v>
      </c>
    </row>
    <row r="51" spans="1:16" x14ac:dyDescent="0.25">
      <c r="A51" t="s">
        <v>191</v>
      </c>
      <c r="B51" t="s">
        <v>98</v>
      </c>
      <c r="C51" t="s">
        <v>18</v>
      </c>
      <c r="D51" t="s">
        <v>87</v>
      </c>
      <c r="E51" t="s">
        <v>88</v>
      </c>
      <c r="F51" t="s">
        <v>31</v>
      </c>
      <c r="G51" t="s">
        <v>41</v>
      </c>
      <c r="H51" t="s">
        <v>49</v>
      </c>
      <c r="I51">
        <v>169</v>
      </c>
      <c r="J51">
        <v>1.28</v>
      </c>
      <c r="K51">
        <v>216.32</v>
      </c>
      <c r="L51">
        <v>0.69</v>
      </c>
      <c r="M51">
        <v>116.61</v>
      </c>
      <c r="N51">
        <v>99.71</v>
      </c>
      <c r="O51" t="s">
        <v>192</v>
      </c>
      <c r="P51" t="s">
        <v>60</v>
      </c>
    </row>
    <row r="52" spans="1:16" x14ac:dyDescent="0.25">
      <c r="A52" t="s">
        <v>193</v>
      </c>
      <c r="B52" t="s">
        <v>194</v>
      </c>
      <c r="C52" t="s">
        <v>18</v>
      </c>
      <c r="D52" t="s">
        <v>19</v>
      </c>
      <c r="E52" t="s">
        <v>20</v>
      </c>
      <c r="F52" t="s">
        <v>21</v>
      </c>
      <c r="G52" t="s">
        <v>91</v>
      </c>
      <c r="H52" t="s">
        <v>49</v>
      </c>
      <c r="I52">
        <v>50</v>
      </c>
      <c r="J52">
        <v>1.25</v>
      </c>
      <c r="K52">
        <v>62.5</v>
      </c>
      <c r="L52">
        <v>0.73</v>
      </c>
      <c r="M52">
        <v>36.5</v>
      </c>
      <c r="N52">
        <v>26</v>
      </c>
      <c r="O52" t="s">
        <v>195</v>
      </c>
      <c r="P52" t="s">
        <v>35</v>
      </c>
    </row>
    <row r="53" spans="1:16" x14ac:dyDescent="0.25">
      <c r="A53" t="s">
        <v>196</v>
      </c>
      <c r="B53" t="s">
        <v>197</v>
      </c>
      <c r="C53" t="s">
        <v>38</v>
      </c>
      <c r="D53" t="s">
        <v>39</v>
      </c>
      <c r="E53" t="s">
        <v>40</v>
      </c>
      <c r="F53" t="s">
        <v>31</v>
      </c>
      <c r="G53" t="s">
        <v>48</v>
      </c>
      <c r="H53" t="s">
        <v>105</v>
      </c>
      <c r="I53">
        <v>109</v>
      </c>
      <c r="J53">
        <v>1.47</v>
      </c>
      <c r="K53">
        <v>160.22999999999999</v>
      </c>
      <c r="L53">
        <v>0.88</v>
      </c>
      <c r="M53">
        <v>95.92</v>
      </c>
      <c r="N53">
        <v>64.31</v>
      </c>
      <c r="O53" t="s">
        <v>198</v>
      </c>
      <c r="P53" t="s">
        <v>25</v>
      </c>
    </row>
    <row r="54" spans="1:16" x14ac:dyDescent="0.25">
      <c r="A54" t="s">
        <v>199</v>
      </c>
      <c r="B54" t="s">
        <v>200</v>
      </c>
      <c r="C54" t="s">
        <v>38</v>
      </c>
      <c r="D54" t="s">
        <v>39</v>
      </c>
      <c r="E54" t="s">
        <v>40</v>
      </c>
      <c r="F54" t="s">
        <v>21</v>
      </c>
      <c r="G54" t="s">
        <v>22</v>
      </c>
      <c r="H54" t="s">
        <v>80</v>
      </c>
      <c r="I54">
        <v>95</v>
      </c>
      <c r="J54">
        <v>1.49</v>
      </c>
      <c r="K54">
        <v>141.55000000000001</v>
      </c>
      <c r="L54">
        <v>0.79</v>
      </c>
      <c r="M54">
        <v>75.05</v>
      </c>
      <c r="N54">
        <v>66.5</v>
      </c>
      <c r="O54" t="s">
        <v>201</v>
      </c>
      <c r="P54" t="s">
        <v>25</v>
      </c>
    </row>
    <row r="55" spans="1:16" x14ac:dyDescent="0.25">
      <c r="A55" t="s">
        <v>202</v>
      </c>
      <c r="B55" t="s">
        <v>182</v>
      </c>
      <c r="C55" t="s">
        <v>38</v>
      </c>
      <c r="D55" t="s">
        <v>39</v>
      </c>
      <c r="E55" t="s">
        <v>40</v>
      </c>
      <c r="F55" t="s">
        <v>21</v>
      </c>
      <c r="G55" t="s">
        <v>22</v>
      </c>
      <c r="H55" t="s">
        <v>42</v>
      </c>
      <c r="I55">
        <v>243</v>
      </c>
      <c r="J55">
        <v>1.58</v>
      </c>
      <c r="K55">
        <v>383.94</v>
      </c>
      <c r="L55">
        <v>0.83</v>
      </c>
      <c r="M55">
        <v>201.69</v>
      </c>
      <c r="N55">
        <v>182.25</v>
      </c>
      <c r="O55" t="s">
        <v>203</v>
      </c>
      <c r="P55" t="s">
        <v>107</v>
      </c>
    </row>
    <row r="56" spans="1:16" x14ac:dyDescent="0.25">
      <c r="A56" t="s">
        <v>204</v>
      </c>
      <c r="B56" t="s">
        <v>205</v>
      </c>
      <c r="C56" t="s">
        <v>28</v>
      </c>
      <c r="D56" t="s">
        <v>29</v>
      </c>
      <c r="E56" t="s">
        <v>30</v>
      </c>
      <c r="F56" t="s">
        <v>31</v>
      </c>
      <c r="G56" t="s">
        <v>32</v>
      </c>
      <c r="H56" t="s">
        <v>73</v>
      </c>
      <c r="I56">
        <v>162</v>
      </c>
      <c r="J56">
        <v>1.53</v>
      </c>
      <c r="K56">
        <v>247.86</v>
      </c>
      <c r="L56">
        <v>0.9</v>
      </c>
      <c r="M56">
        <v>145.80000000000001</v>
      </c>
      <c r="N56">
        <v>102.06</v>
      </c>
      <c r="O56" t="s">
        <v>206</v>
      </c>
      <c r="P56" t="s">
        <v>35</v>
      </c>
    </row>
    <row r="57" spans="1:16" x14ac:dyDescent="0.25">
      <c r="A57" t="s">
        <v>207</v>
      </c>
      <c r="B57" t="s">
        <v>129</v>
      </c>
      <c r="C57" t="s">
        <v>18</v>
      </c>
      <c r="D57" t="s">
        <v>87</v>
      </c>
      <c r="E57" t="s">
        <v>88</v>
      </c>
      <c r="F57" t="s">
        <v>21</v>
      </c>
      <c r="G57" t="s">
        <v>22</v>
      </c>
      <c r="H57" t="s">
        <v>73</v>
      </c>
      <c r="I57">
        <v>221</v>
      </c>
      <c r="J57">
        <v>0.81</v>
      </c>
      <c r="K57">
        <v>179.01</v>
      </c>
      <c r="L57">
        <v>0.34</v>
      </c>
      <c r="M57">
        <v>75.14</v>
      </c>
      <c r="N57">
        <v>103.87</v>
      </c>
      <c r="O57" t="s">
        <v>208</v>
      </c>
      <c r="P57" t="s">
        <v>60</v>
      </c>
    </row>
    <row r="58" spans="1:16" x14ac:dyDescent="0.25">
      <c r="A58" t="s">
        <v>209</v>
      </c>
      <c r="B58" t="s">
        <v>138</v>
      </c>
      <c r="C58" t="s">
        <v>38</v>
      </c>
      <c r="D58" t="s">
        <v>53</v>
      </c>
      <c r="E58" t="s">
        <v>54</v>
      </c>
      <c r="F58" t="s">
        <v>21</v>
      </c>
      <c r="G58" t="s">
        <v>91</v>
      </c>
      <c r="H58" t="s">
        <v>66</v>
      </c>
      <c r="I58">
        <v>211</v>
      </c>
      <c r="J58">
        <v>1.24</v>
      </c>
      <c r="K58">
        <v>261.64</v>
      </c>
      <c r="L58">
        <v>0.66</v>
      </c>
      <c r="M58">
        <v>139.26</v>
      </c>
      <c r="N58">
        <v>122.38</v>
      </c>
      <c r="O58" t="s">
        <v>210</v>
      </c>
      <c r="P58" t="s">
        <v>35</v>
      </c>
    </row>
    <row r="59" spans="1:16" x14ac:dyDescent="0.25">
      <c r="A59" t="s">
        <v>211</v>
      </c>
      <c r="B59" t="s">
        <v>212</v>
      </c>
      <c r="C59" t="s">
        <v>18</v>
      </c>
      <c r="D59" t="s">
        <v>19</v>
      </c>
      <c r="E59" t="s">
        <v>20</v>
      </c>
      <c r="F59" t="s">
        <v>21</v>
      </c>
      <c r="G59" t="s">
        <v>58</v>
      </c>
      <c r="H59" t="s">
        <v>73</v>
      </c>
      <c r="I59">
        <v>116</v>
      </c>
      <c r="J59">
        <v>1.06</v>
      </c>
      <c r="K59">
        <v>122.96</v>
      </c>
      <c r="L59">
        <v>0.55000000000000004</v>
      </c>
      <c r="M59">
        <v>63.8</v>
      </c>
      <c r="N59">
        <v>59.16</v>
      </c>
      <c r="O59" t="s">
        <v>213</v>
      </c>
      <c r="P59" t="s">
        <v>25</v>
      </c>
    </row>
    <row r="60" spans="1:16" x14ac:dyDescent="0.25">
      <c r="A60" t="s">
        <v>214</v>
      </c>
      <c r="B60" t="s">
        <v>187</v>
      </c>
      <c r="C60" t="s">
        <v>38</v>
      </c>
      <c r="D60" t="s">
        <v>53</v>
      </c>
      <c r="E60" t="s">
        <v>54</v>
      </c>
      <c r="F60" t="s">
        <v>71</v>
      </c>
      <c r="G60" t="s">
        <v>95</v>
      </c>
      <c r="H60" t="s">
        <v>80</v>
      </c>
      <c r="I60">
        <v>60</v>
      </c>
      <c r="J60">
        <v>1.22</v>
      </c>
      <c r="K60">
        <v>73.2</v>
      </c>
      <c r="L60">
        <v>0.76</v>
      </c>
      <c r="M60">
        <v>45.6</v>
      </c>
      <c r="N60">
        <v>27.6</v>
      </c>
      <c r="O60" t="s">
        <v>215</v>
      </c>
      <c r="P60" t="s">
        <v>25</v>
      </c>
    </row>
    <row r="61" spans="1:16" x14ac:dyDescent="0.25">
      <c r="A61" t="s">
        <v>216</v>
      </c>
      <c r="B61" t="s">
        <v>217</v>
      </c>
      <c r="C61" t="s">
        <v>38</v>
      </c>
      <c r="D61" t="s">
        <v>39</v>
      </c>
      <c r="E61" t="s">
        <v>40</v>
      </c>
      <c r="F61" t="s">
        <v>71</v>
      </c>
      <c r="G61" t="s">
        <v>72</v>
      </c>
      <c r="H61" t="s">
        <v>66</v>
      </c>
      <c r="I61">
        <v>58</v>
      </c>
      <c r="J61">
        <v>1.42</v>
      </c>
      <c r="L61">
        <v>0.61</v>
      </c>
      <c r="M61">
        <v>35.380000000000003</v>
      </c>
      <c r="N61">
        <v>46.98</v>
      </c>
      <c r="O61" t="s">
        <v>218</v>
      </c>
      <c r="P61" t="s">
        <v>60</v>
      </c>
    </row>
    <row r="62" spans="1:16" x14ac:dyDescent="0.25">
      <c r="A62" t="s">
        <v>219</v>
      </c>
      <c r="B62" t="s">
        <v>220</v>
      </c>
      <c r="C62" t="s">
        <v>18</v>
      </c>
      <c r="D62" t="s">
        <v>87</v>
      </c>
      <c r="E62" t="s">
        <v>88</v>
      </c>
      <c r="F62" t="s">
        <v>31</v>
      </c>
      <c r="G62" t="s">
        <v>41</v>
      </c>
      <c r="H62" t="s">
        <v>42</v>
      </c>
      <c r="I62">
        <v>93</v>
      </c>
      <c r="J62">
        <v>1.1599999999999999</v>
      </c>
      <c r="K62">
        <v>107.88</v>
      </c>
      <c r="L62">
        <v>0.64</v>
      </c>
      <c r="M62">
        <v>59.52</v>
      </c>
      <c r="N62">
        <v>48.36</v>
      </c>
      <c r="O62" t="s">
        <v>221</v>
      </c>
      <c r="P62" t="s">
        <v>60</v>
      </c>
    </row>
    <row r="63" spans="1:16" x14ac:dyDescent="0.25">
      <c r="A63" t="s">
        <v>222</v>
      </c>
      <c r="B63" t="s">
        <v>144</v>
      </c>
      <c r="C63" t="s">
        <v>18</v>
      </c>
      <c r="D63" t="s">
        <v>19</v>
      </c>
      <c r="E63" t="s">
        <v>20</v>
      </c>
      <c r="F63" t="s">
        <v>21</v>
      </c>
      <c r="G63" t="s">
        <v>91</v>
      </c>
      <c r="H63" t="s">
        <v>105</v>
      </c>
      <c r="I63">
        <v>106</v>
      </c>
      <c r="J63">
        <v>1.02</v>
      </c>
      <c r="K63">
        <v>108.12</v>
      </c>
      <c r="L63">
        <v>0.53</v>
      </c>
      <c r="M63">
        <v>56.18</v>
      </c>
      <c r="N63">
        <v>51.94</v>
      </c>
      <c r="O63" t="s">
        <v>223</v>
      </c>
      <c r="P63" t="s">
        <v>60</v>
      </c>
    </row>
    <row r="64" spans="1:16" x14ac:dyDescent="0.25">
      <c r="A64" t="s">
        <v>224</v>
      </c>
      <c r="B64" t="s">
        <v>165</v>
      </c>
      <c r="C64" t="s">
        <v>18</v>
      </c>
      <c r="D64" t="s">
        <v>19</v>
      </c>
      <c r="E64" t="s">
        <v>20</v>
      </c>
      <c r="F64" t="s">
        <v>31</v>
      </c>
      <c r="G64" t="s">
        <v>32</v>
      </c>
      <c r="H64" t="s">
        <v>73</v>
      </c>
      <c r="I64">
        <v>190</v>
      </c>
      <c r="J64">
        <v>0.94</v>
      </c>
      <c r="K64">
        <v>178.6</v>
      </c>
      <c r="L64">
        <v>0.56000000000000005</v>
      </c>
      <c r="M64">
        <v>106.4</v>
      </c>
      <c r="N64">
        <v>72.2</v>
      </c>
      <c r="O64" t="s">
        <v>225</v>
      </c>
      <c r="P64" t="s">
        <v>60</v>
      </c>
    </row>
    <row r="65" spans="1:16" x14ac:dyDescent="0.25">
      <c r="A65" t="s">
        <v>226</v>
      </c>
      <c r="B65" t="s">
        <v>227</v>
      </c>
      <c r="C65" t="s">
        <v>38</v>
      </c>
      <c r="D65" t="s">
        <v>53</v>
      </c>
      <c r="E65" t="s">
        <v>54</v>
      </c>
      <c r="F65" t="s">
        <v>31</v>
      </c>
      <c r="G65" t="s">
        <v>41</v>
      </c>
      <c r="H65" t="s">
        <v>105</v>
      </c>
      <c r="I65">
        <v>159</v>
      </c>
      <c r="J65">
        <v>1.26</v>
      </c>
      <c r="K65">
        <v>200.34</v>
      </c>
      <c r="L65">
        <v>0.83</v>
      </c>
      <c r="M65">
        <v>131.97</v>
      </c>
      <c r="N65">
        <v>68.37</v>
      </c>
      <c r="O65" t="s">
        <v>228</v>
      </c>
      <c r="P65" t="s">
        <v>25</v>
      </c>
    </row>
    <row r="66" spans="1:16" x14ac:dyDescent="0.25">
      <c r="A66" t="s">
        <v>229</v>
      </c>
      <c r="B66" t="s">
        <v>230</v>
      </c>
      <c r="C66" t="s">
        <v>38</v>
      </c>
      <c r="D66" t="s">
        <v>39</v>
      </c>
      <c r="E66" t="s">
        <v>40</v>
      </c>
      <c r="F66" t="s">
        <v>31</v>
      </c>
      <c r="G66" t="s">
        <v>48</v>
      </c>
      <c r="H66" t="s">
        <v>105</v>
      </c>
      <c r="I66">
        <v>58</v>
      </c>
      <c r="J66">
        <v>0.93</v>
      </c>
      <c r="K66">
        <v>53.94</v>
      </c>
      <c r="L66">
        <v>0.56000000000000005</v>
      </c>
      <c r="M66">
        <v>32.479999999999997</v>
      </c>
      <c r="N66">
        <v>21.46</v>
      </c>
      <c r="O66" t="s">
        <v>231</v>
      </c>
      <c r="P66" t="s">
        <v>25</v>
      </c>
    </row>
    <row r="67" spans="1:16" x14ac:dyDescent="0.25">
      <c r="A67" t="s">
        <v>232</v>
      </c>
      <c r="B67" t="s">
        <v>184</v>
      </c>
      <c r="C67" t="s">
        <v>18</v>
      </c>
      <c r="D67" t="s">
        <v>87</v>
      </c>
      <c r="E67" t="s">
        <v>88</v>
      </c>
      <c r="F67" t="s">
        <v>21</v>
      </c>
      <c r="G67" t="s">
        <v>91</v>
      </c>
      <c r="H67" t="s">
        <v>66</v>
      </c>
      <c r="I67">
        <v>181</v>
      </c>
      <c r="J67">
        <v>0.9</v>
      </c>
      <c r="K67">
        <v>162.9</v>
      </c>
      <c r="L67">
        <v>0.6</v>
      </c>
      <c r="M67">
        <v>108.6</v>
      </c>
      <c r="N67">
        <v>54.3</v>
      </c>
      <c r="O67" t="s">
        <v>24</v>
      </c>
      <c r="P67" t="s">
        <v>60</v>
      </c>
    </row>
    <row r="68" spans="1:16" x14ac:dyDescent="0.25">
      <c r="A68" t="s">
        <v>233</v>
      </c>
      <c r="B68" t="s">
        <v>182</v>
      </c>
      <c r="C68" t="s">
        <v>38</v>
      </c>
      <c r="D68" t="s">
        <v>39</v>
      </c>
      <c r="E68" t="s">
        <v>40</v>
      </c>
      <c r="F68" t="s">
        <v>71</v>
      </c>
      <c r="G68" t="s">
        <v>95</v>
      </c>
      <c r="H68" t="s">
        <v>23</v>
      </c>
      <c r="I68">
        <v>98</v>
      </c>
      <c r="J68">
        <v>0.86</v>
      </c>
      <c r="K68">
        <v>84.28</v>
      </c>
      <c r="L68">
        <v>0.36</v>
      </c>
      <c r="M68">
        <v>35.28</v>
      </c>
      <c r="N68">
        <v>49</v>
      </c>
      <c r="O68" t="s">
        <v>234</v>
      </c>
      <c r="P68" t="s">
        <v>60</v>
      </c>
    </row>
    <row r="69" spans="1:16" x14ac:dyDescent="0.25">
      <c r="A69" t="s">
        <v>235</v>
      </c>
      <c r="B69" t="s">
        <v>236</v>
      </c>
      <c r="C69" t="s">
        <v>28</v>
      </c>
      <c r="D69" t="s">
        <v>46</v>
      </c>
      <c r="E69" t="s">
        <v>47</v>
      </c>
      <c r="F69" t="s">
        <v>21</v>
      </c>
      <c r="G69" t="s">
        <v>22</v>
      </c>
      <c r="H69" t="s">
        <v>42</v>
      </c>
      <c r="I69">
        <v>204</v>
      </c>
      <c r="J69">
        <v>1.07</v>
      </c>
      <c r="K69">
        <v>218.28</v>
      </c>
      <c r="L69">
        <v>0.63</v>
      </c>
      <c r="M69">
        <v>128.52000000000001</v>
      </c>
      <c r="N69">
        <v>89.76</v>
      </c>
      <c r="O69" t="s">
        <v>237</v>
      </c>
      <c r="P69" t="s">
        <v>60</v>
      </c>
    </row>
    <row r="70" spans="1:16" x14ac:dyDescent="0.25">
      <c r="A70" t="s">
        <v>238</v>
      </c>
      <c r="B70" t="s">
        <v>239</v>
      </c>
      <c r="C70" t="s">
        <v>18</v>
      </c>
      <c r="D70" t="s">
        <v>87</v>
      </c>
      <c r="E70" t="s">
        <v>88</v>
      </c>
      <c r="F70" t="s">
        <v>21</v>
      </c>
      <c r="G70" t="s">
        <v>58</v>
      </c>
      <c r="H70" t="s">
        <v>49</v>
      </c>
      <c r="I70">
        <v>248</v>
      </c>
      <c r="J70">
        <v>0.84</v>
      </c>
      <c r="K70">
        <v>208.32</v>
      </c>
      <c r="L70">
        <v>0.53</v>
      </c>
      <c r="M70">
        <v>131.44</v>
      </c>
      <c r="N70">
        <v>76.88</v>
      </c>
      <c r="O70" t="s">
        <v>240</v>
      </c>
      <c r="P70" t="s">
        <v>35</v>
      </c>
    </row>
    <row r="71" spans="1:16" x14ac:dyDescent="0.25">
      <c r="A71" t="s">
        <v>241</v>
      </c>
      <c r="B71" t="s">
        <v>220</v>
      </c>
      <c r="C71" t="s">
        <v>28</v>
      </c>
      <c r="D71" t="s">
        <v>29</v>
      </c>
      <c r="E71" t="s">
        <v>30</v>
      </c>
      <c r="F71" t="s">
        <v>71</v>
      </c>
      <c r="G71" t="s">
        <v>72</v>
      </c>
      <c r="H71" t="s">
        <v>66</v>
      </c>
      <c r="I71">
        <v>61</v>
      </c>
      <c r="J71">
        <v>1.1100000000000001</v>
      </c>
      <c r="K71">
        <v>67.709999999999994</v>
      </c>
      <c r="L71">
        <v>0.53</v>
      </c>
      <c r="M71">
        <v>32.33</v>
      </c>
      <c r="N71">
        <v>35.380000000000003</v>
      </c>
      <c r="O71" t="s">
        <v>150</v>
      </c>
      <c r="P71" t="s">
        <v>25</v>
      </c>
    </row>
    <row r="72" spans="1:16" x14ac:dyDescent="0.25">
      <c r="A72" t="s">
        <v>242</v>
      </c>
      <c r="B72" t="s">
        <v>112</v>
      </c>
      <c r="C72" t="s">
        <v>38</v>
      </c>
      <c r="D72" t="s">
        <v>39</v>
      </c>
      <c r="E72" t="s">
        <v>40</v>
      </c>
      <c r="F72" t="s">
        <v>31</v>
      </c>
      <c r="G72" t="s">
        <v>32</v>
      </c>
      <c r="H72" t="s">
        <v>73</v>
      </c>
      <c r="I72">
        <v>229</v>
      </c>
      <c r="J72">
        <v>1.1399999999999999</v>
      </c>
      <c r="K72">
        <v>261.06</v>
      </c>
      <c r="L72">
        <v>0.62</v>
      </c>
      <c r="M72">
        <v>141.97999999999999</v>
      </c>
      <c r="N72">
        <v>119.08</v>
      </c>
      <c r="O72" t="s">
        <v>243</v>
      </c>
      <c r="P72" t="s">
        <v>25</v>
      </c>
    </row>
    <row r="73" spans="1:16" x14ac:dyDescent="0.25">
      <c r="A73" t="s">
        <v>244</v>
      </c>
      <c r="B73" t="s">
        <v>101</v>
      </c>
      <c r="C73" t="s">
        <v>18</v>
      </c>
      <c r="D73" t="s">
        <v>19</v>
      </c>
      <c r="E73" t="s">
        <v>20</v>
      </c>
      <c r="F73" t="s">
        <v>31</v>
      </c>
      <c r="G73" t="s">
        <v>32</v>
      </c>
      <c r="H73" t="s">
        <v>23</v>
      </c>
      <c r="I73">
        <v>202</v>
      </c>
      <c r="J73">
        <v>1.53</v>
      </c>
      <c r="K73">
        <v>309.06</v>
      </c>
      <c r="L73">
        <v>0.93</v>
      </c>
      <c r="M73">
        <v>187.86</v>
      </c>
      <c r="N73">
        <v>121.2</v>
      </c>
      <c r="O73" t="s">
        <v>145</v>
      </c>
      <c r="P73" t="s">
        <v>107</v>
      </c>
    </row>
    <row r="74" spans="1:16" x14ac:dyDescent="0.25">
      <c r="A74" t="s">
        <v>245</v>
      </c>
      <c r="B74" t="s">
        <v>230</v>
      </c>
      <c r="C74" t="s">
        <v>38</v>
      </c>
      <c r="D74" t="s">
        <v>53</v>
      </c>
      <c r="E74" t="s">
        <v>54</v>
      </c>
      <c r="F74" t="s">
        <v>21</v>
      </c>
      <c r="G74" t="s">
        <v>91</v>
      </c>
      <c r="H74" t="s">
        <v>105</v>
      </c>
      <c r="I74">
        <v>106</v>
      </c>
      <c r="J74">
        <v>1.08</v>
      </c>
      <c r="K74">
        <v>114.48</v>
      </c>
      <c r="L74">
        <v>0.5</v>
      </c>
      <c r="M74">
        <v>53</v>
      </c>
      <c r="N74">
        <v>61.48</v>
      </c>
      <c r="O74" t="s">
        <v>246</v>
      </c>
      <c r="P74" t="s">
        <v>25</v>
      </c>
    </row>
    <row r="75" spans="1:16" x14ac:dyDescent="0.25">
      <c r="A75" t="s">
        <v>247</v>
      </c>
      <c r="B75" t="s">
        <v>57</v>
      </c>
      <c r="C75" t="s">
        <v>38</v>
      </c>
      <c r="D75" t="s">
        <v>53</v>
      </c>
      <c r="E75" t="s">
        <v>54</v>
      </c>
      <c r="F75" t="s">
        <v>31</v>
      </c>
      <c r="G75" t="s">
        <v>32</v>
      </c>
      <c r="H75" t="s">
        <v>42</v>
      </c>
      <c r="I75">
        <v>209</v>
      </c>
      <c r="J75">
        <v>1.6</v>
      </c>
      <c r="K75">
        <v>334.4</v>
      </c>
      <c r="L75">
        <v>0.81</v>
      </c>
      <c r="M75">
        <v>169.29</v>
      </c>
      <c r="N75">
        <v>165.11</v>
      </c>
      <c r="O75" t="s">
        <v>248</v>
      </c>
      <c r="P75" t="s">
        <v>25</v>
      </c>
    </row>
    <row r="76" spans="1:16" x14ac:dyDescent="0.25">
      <c r="A76" t="s">
        <v>249</v>
      </c>
      <c r="B76" t="s">
        <v>250</v>
      </c>
      <c r="C76" t="s">
        <v>18</v>
      </c>
      <c r="D76" t="s">
        <v>87</v>
      </c>
      <c r="E76" t="s">
        <v>88</v>
      </c>
      <c r="F76" t="s">
        <v>31</v>
      </c>
      <c r="G76" t="s">
        <v>32</v>
      </c>
      <c r="H76" t="s">
        <v>42</v>
      </c>
      <c r="I76">
        <v>227</v>
      </c>
      <c r="J76">
        <v>1.1200000000000001</v>
      </c>
      <c r="K76">
        <v>254.24</v>
      </c>
      <c r="L76">
        <v>0.53</v>
      </c>
      <c r="M76">
        <v>120.31</v>
      </c>
      <c r="N76">
        <v>133.93</v>
      </c>
      <c r="O76" t="s">
        <v>251</v>
      </c>
      <c r="P76" t="s">
        <v>35</v>
      </c>
    </row>
    <row r="77" spans="1:16" x14ac:dyDescent="0.25">
      <c r="A77" t="s">
        <v>252</v>
      </c>
      <c r="B77" t="s">
        <v>227</v>
      </c>
      <c r="C77" t="s">
        <v>18</v>
      </c>
      <c r="D77" t="s">
        <v>19</v>
      </c>
      <c r="E77" t="s">
        <v>20</v>
      </c>
      <c r="F77" t="s">
        <v>31</v>
      </c>
      <c r="G77" t="s">
        <v>48</v>
      </c>
      <c r="H77" t="s">
        <v>42</v>
      </c>
      <c r="I77">
        <v>61</v>
      </c>
      <c r="J77">
        <v>1.26</v>
      </c>
      <c r="K77">
        <v>76.86</v>
      </c>
      <c r="L77">
        <v>0.69</v>
      </c>
      <c r="M77">
        <v>42.09</v>
      </c>
      <c r="N77">
        <v>34.770000000000003</v>
      </c>
      <c r="O77" t="s">
        <v>253</v>
      </c>
      <c r="P77" t="s">
        <v>60</v>
      </c>
    </row>
    <row r="78" spans="1:16" x14ac:dyDescent="0.25">
      <c r="A78" t="s">
        <v>254</v>
      </c>
      <c r="B78" t="s">
        <v>255</v>
      </c>
      <c r="C78" t="s">
        <v>28</v>
      </c>
      <c r="D78" t="s">
        <v>29</v>
      </c>
      <c r="E78" t="s">
        <v>30</v>
      </c>
      <c r="F78" t="s">
        <v>31</v>
      </c>
      <c r="G78" t="s">
        <v>41</v>
      </c>
      <c r="H78" t="s">
        <v>42</v>
      </c>
      <c r="I78">
        <v>102</v>
      </c>
      <c r="J78">
        <v>0.95</v>
      </c>
      <c r="K78">
        <v>96.9</v>
      </c>
      <c r="L78">
        <v>0.48</v>
      </c>
      <c r="M78">
        <v>48.96</v>
      </c>
      <c r="N78">
        <v>47.94</v>
      </c>
      <c r="O78" t="s">
        <v>256</v>
      </c>
      <c r="P78" t="s">
        <v>25</v>
      </c>
    </row>
    <row r="79" spans="1:16" x14ac:dyDescent="0.25">
      <c r="A79" t="s">
        <v>257</v>
      </c>
      <c r="B79" t="s">
        <v>176</v>
      </c>
      <c r="C79" t="s">
        <v>38</v>
      </c>
      <c r="D79" t="s">
        <v>39</v>
      </c>
      <c r="E79" t="s">
        <v>40</v>
      </c>
      <c r="F79" t="s">
        <v>71</v>
      </c>
      <c r="G79" t="s">
        <v>72</v>
      </c>
      <c r="H79" t="s">
        <v>105</v>
      </c>
      <c r="I79">
        <v>129</v>
      </c>
      <c r="J79">
        <v>1.43</v>
      </c>
      <c r="K79">
        <v>184.47</v>
      </c>
      <c r="L79">
        <v>0.65</v>
      </c>
      <c r="M79">
        <v>83.85</v>
      </c>
      <c r="N79">
        <v>100.62</v>
      </c>
      <c r="O79" t="s">
        <v>185</v>
      </c>
      <c r="P79" t="s">
        <v>25</v>
      </c>
    </row>
    <row r="80" spans="1:16" x14ac:dyDescent="0.25">
      <c r="A80" t="s">
        <v>258</v>
      </c>
      <c r="B80" t="s">
        <v>259</v>
      </c>
      <c r="C80" t="s">
        <v>28</v>
      </c>
      <c r="D80" t="s">
        <v>46</v>
      </c>
      <c r="E80" t="s">
        <v>47</v>
      </c>
      <c r="F80" t="s">
        <v>21</v>
      </c>
      <c r="G80" t="s">
        <v>58</v>
      </c>
      <c r="H80" t="s">
        <v>73</v>
      </c>
      <c r="I80">
        <v>210</v>
      </c>
      <c r="J80">
        <v>1.03</v>
      </c>
      <c r="K80">
        <v>216.3</v>
      </c>
      <c r="L80">
        <v>0.43</v>
      </c>
      <c r="M80">
        <v>90.3</v>
      </c>
      <c r="N80">
        <v>126</v>
      </c>
      <c r="O80" t="s">
        <v>260</v>
      </c>
      <c r="P80" t="s">
        <v>25</v>
      </c>
    </row>
    <row r="81" spans="1:16" x14ac:dyDescent="0.25">
      <c r="A81" t="s">
        <v>261</v>
      </c>
      <c r="B81" t="s">
        <v>262</v>
      </c>
      <c r="C81" t="s">
        <v>18</v>
      </c>
      <c r="D81" t="s">
        <v>19</v>
      </c>
      <c r="E81" t="s">
        <v>20</v>
      </c>
      <c r="F81" t="s">
        <v>71</v>
      </c>
      <c r="G81" t="s">
        <v>72</v>
      </c>
      <c r="H81" t="s">
        <v>105</v>
      </c>
      <c r="I81">
        <v>61</v>
      </c>
      <c r="J81">
        <v>1.34</v>
      </c>
      <c r="L81">
        <v>0.6</v>
      </c>
      <c r="M81">
        <v>36.6</v>
      </c>
      <c r="N81">
        <v>45.14</v>
      </c>
      <c r="O81" t="s">
        <v>263</v>
      </c>
      <c r="P81" t="s">
        <v>25</v>
      </c>
    </row>
    <row r="82" spans="1:16" x14ac:dyDescent="0.25">
      <c r="A82" t="s">
        <v>264</v>
      </c>
      <c r="B82" t="s">
        <v>265</v>
      </c>
      <c r="C82" t="s">
        <v>38</v>
      </c>
      <c r="D82" t="s">
        <v>53</v>
      </c>
      <c r="E82" t="s">
        <v>54</v>
      </c>
      <c r="F82" t="s">
        <v>31</v>
      </c>
      <c r="G82" t="s">
        <v>41</v>
      </c>
      <c r="H82" t="s">
        <v>49</v>
      </c>
      <c r="I82">
        <v>146</v>
      </c>
      <c r="J82">
        <v>0.95</v>
      </c>
      <c r="K82">
        <v>138.69999999999999</v>
      </c>
      <c r="L82">
        <v>0.56000000000000005</v>
      </c>
      <c r="M82">
        <v>81.760000000000005</v>
      </c>
      <c r="N82">
        <v>56.94</v>
      </c>
      <c r="O82" t="s">
        <v>237</v>
      </c>
      <c r="P82" t="s">
        <v>25</v>
      </c>
    </row>
    <row r="83" spans="1:16" x14ac:dyDescent="0.25">
      <c r="A83" t="s">
        <v>266</v>
      </c>
      <c r="B83" t="s">
        <v>267</v>
      </c>
      <c r="C83" t="s">
        <v>18</v>
      </c>
      <c r="D83" t="s">
        <v>19</v>
      </c>
      <c r="E83" t="s">
        <v>20</v>
      </c>
      <c r="F83" t="s">
        <v>71</v>
      </c>
      <c r="G83" t="s">
        <v>95</v>
      </c>
      <c r="H83" t="s">
        <v>80</v>
      </c>
      <c r="I83">
        <v>109</v>
      </c>
      <c r="J83">
        <v>1.1499999999999999</v>
      </c>
      <c r="K83">
        <v>125.35</v>
      </c>
      <c r="L83">
        <v>0.57999999999999996</v>
      </c>
      <c r="M83">
        <v>63.22</v>
      </c>
      <c r="N83">
        <v>62.13</v>
      </c>
      <c r="O83" t="s">
        <v>268</v>
      </c>
      <c r="P83" t="s">
        <v>35</v>
      </c>
    </row>
    <row r="84" spans="1:16" x14ac:dyDescent="0.25">
      <c r="A84" t="s">
        <v>269</v>
      </c>
      <c r="B84" t="s">
        <v>101</v>
      </c>
      <c r="C84" t="s">
        <v>18</v>
      </c>
      <c r="D84" t="s">
        <v>87</v>
      </c>
      <c r="E84" t="s">
        <v>88</v>
      </c>
      <c r="F84" t="s">
        <v>71</v>
      </c>
      <c r="G84" t="s">
        <v>95</v>
      </c>
      <c r="H84" t="s">
        <v>49</v>
      </c>
      <c r="I84">
        <v>79</v>
      </c>
      <c r="J84">
        <v>1.1299999999999999</v>
      </c>
      <c r="K84">
        <v>89.27</v>
      </c>
      <c r="L84">
        <v>0.7</v>
      </c>
      <c r="M84">
        <v>55.3</v>
      </c>
      <c r="N84">
        <v>33.97</v>
      </c>
      <c r="O84" t="s">
        <v>270</v>
      </c>
      <c r="P84" t="s">
        <v>25</v>
      </c>
    </row>
    <row r="85" spans="1:16" x14ac:dyDescent="0.25">
      <c r="A85" t="s">
        <v>271</v>
      </c>
      <c r="B85" t="s">
        <v>135</v>
      </c>
      <c r="C85" t="s">
        <v>38</v>
      </c>
      <c r="D85" t="s">
        <v>39</v>
      </c>
      <c r="E85" t="s">
        <v>40</v>
      </c>
      <c r="F85" t="s">
        <v>31</v>
      </c>
      <c r="G85" t="s">
        <v>41</v>
      </c>
      <c r="H85" t="s">
        <v>80</v>
      </c>
      <c r="I85">
        <v>71</v>
      </c>
      <c r="J85">
        <v>1.41</v>
      </c>
      <c r="K85">
        <v>100.11</v>
      </c>
      <c r="L85">
        <v>0.7</v>
      </c>
      <c r="M85">
        <v>49.7</v>
      </c>
      <c r="N85">
        <v>50.41</v>
      </c>
      <c r="O85" t="s">
        <v>272</v>
      </c>
      <c r="P85" t="s">
        <v>60</v>
      </c>
    </row>
    <row r="86" spans="1:16" x14ac:dyDescent="0.25">
      <c r="A86" t="s">
        <v>273</v>
      </c>
      <c r="B86" t="s">
        <v>79</v>
      </c>
      <c r="C86" t="s">
        <v>18</v>
      </c>
      <c r="D86" t="s">
        <v>19</v>
      </c>
      <c r="E86" t="s">
        <v>20</v>
      </c>
      <c r="F86" t="s">
        <v>71</v>
      </c>
      <c r="G86" t="s">
        <v>72</v>
      </c>
      <c r="H86" t="s">
        <v>105</v>
      </c>
      <c r="I86">
        <v>92</v>
      </c>
      <c r="J86">
        <v>0.92</v>
      </c>
      <c r="K86">
        <v>84.64</v>
      </c>
      <c r="L86">
        <v>0.63</v>
      </c>
      <c r="M86">
        <v>57.96</v>
      </c>
      <c r="N86">
        <v>26.68</v>
      </c>
      <c r="O86" t="s">
        <v>274</v>
      </c>
      <c r="P86" t="s">
        <v>35</v>
      </c>
    </row>
    <row r="87" spans="1:16" x14ac:dyDescent="0.25">
      <c r="A87" t="s">
        <v>275</v>
      </c>
      <c r="B87" t="s">
        <v>276</v>
      </c>
      <c r="C87" t="s">
        <v>28</v>
      </c>
      <c r="D87" t="s">
        <v>46</v>
      </c>
      <c r="E87" t="s">
        <v>47</v>
      </c>
      <c r="F87" t="s">
        <v>21</v>
      </c>
      <c r="G87" t="s">
        <v>22</v>
      </c>
      <c r="H87" t="s">
        <v>105</v>
      </c>
      <c r="I87">
        <v>203</v>
      </c>
      <c r="J87">
        <v>1.03</v>
      </c>
      <c r="K87">
        <v>209.09</v>
      </c>
      <c r="L87">
        <v>0.48</v>
      </c>
      <c r="M87">
        <v>97.44</v>
      </c>
      <c r="N87">
        <v>111.65</v>
      </c>
      <c r="O87" t="s">
        <v>50</v>
      </c>
      <c r="P87" t="s">
        <v>25</v>
      </c>
    </row>
    <row r="88" spans="1:16" x14ac:dyDescent="0.25">
      <c r="A88" t="s">
        <v>277</v>
      </c>
      <c r="B88" t="s">
        <v>187</v>
      </c>
      <c r="C88" t="s">
        <v>28</v>
      </c>
      <c r="D88" t="s">
        <v>46</v>
      </c>
      <c r="E88" t="s">
        <v>70</v>
      </c>
      <c r="F88" t="s">
        <v>21</v>
      </c>
      <c r="G88" t="s">
        <v>91</v>
      </c>
      <c r="H88" t="s">
        <v>80</v>
      </c>
      <c r="I88">
        <v>191</v>
      </c>
      <c r="J88">
        <v>1.59</v>
      </c>
      <c r="K88">
        <v>303.69</v>
      </c>
      <c r="L88">
        <v>1.1100000000000001</v>
      </c>
      <c r="M88">
        <v>212.01</v>
      </c>
      <c r="N88">
        <v>91.68</v>
      </c>
      <c r="O88" t="s">
        <v>278</v>
      </c>
      <c r="P88" t="s">
        <v>25</v>
      </c>
    </row>
    <row r="89" spans="1:16" x14ac:dyDescent="0.25">
      <c r="A89" t="s">
        <v>279</v>
      </c>
      <c r="B89" t="s">
        <v>280</v>
      </c>
      <c r="C89" t="s">
        <v>18</v>
      </c>
      <c r="D89" t="s">
        <v>19</v>
      </c>
      <c r="E89" t="s">
        <v>20</v>
      </c>
      <c r="F89" t="s">
        <v>21</v>
      </c>
      <c r="G89" t="s">
        <v>58</v>
      </c>
      <c r="H89" t="s">
        <v>33</v>
      </c>
      <c r="I89">
        <v>65</v>
      </c>
      <c r="J89">
        <v>1.36</v>
      </c>
      <c r="K89">
        <v>88.4</v>
      </c>
      <c r="L89">
        <v>0.65</v>
      </c>
      <c r="M89">
        <v>42.25</v>
      </c>
      <c r="N89">
        <v>46.15</v>
      </c>
      <c r="O89" t="s">
        <v>281</v>
      </c>
      <c r="P89" t="s">
        <v>60</v>
      </c>
    </row>
    <row r="90" spans="1:16" x14ac:dyDescent="0.25">
      <c r="A90" t="s">
        <v>282</v>
      </c>
      <c r="B90" t="s">
        <v>230</v>
      </c>
      <c r="C90" t="s">
        <v>18</v>
      </c>
      <c r="D90" t="s">
        <v>87</v>
      </c>
      <c r="E90" t="s">
        <v>88</v>
      </c>
      <c r="F90" t="s">
        <v>21</v>
      </c>
      <c r="G90" t="s">
        <v>58</v>
      </c>
      <c r="H90" t="s">
        <v>42</v>
      </c>
      <c r="I90">
        <v>176</v>
      </c>
      <c r="J90">
        <v>1.07</v>
      </c>
      <c r="K90">
        <v>188.32</v>
      </c>
      <c r="L90">
        <v>0.5</v>
      </c>
      <c r="M90">
        <v>88</v>
      </c>
      <c r="N90">
        <v>100.32</v>
      </c>
      <c r="O90" t="s">
        <v>283</v>
      </c>
      <c r="P90" t="s">
        <v>25</v>
      </c>
    </row>
    <row r="91" spans="1:16" x14ac:dyDescent="0.25">
      <c r="A91" t="s">
        <v>284</v>
      </c>
      <c r="B91" t="s">
        <v>285</v>
      </c>
      <c r="C91" t="s">
        <v>28</v>
      </c>
      <c r="D91" t="s">
        <v>46</v>
      </c>
      <c r="E91" t="s">
        <v>70</v>
      </c>
      <c r="F91" t="s">
        <v>71</v>
      </c>
      <c r="G91" t="s">
        <v>95</v>
      </c>
      <c r="H91" t="s">
        <v>73</v>
      </c>
      <c r="I91">
        <v>109</v>
      </c>
      <c r="J91">
        <v>1.54</v>
      </c>
      <c r="K91">
        <v>167.86</v>
      </c>
      <c r="L91">
        <v>0.88</v>
      </c>
      <c r="M91">
        <v>95.92</v>
      </c>
      <c r="N91">
        <v>71.94</v>
      </c>
      <c r="O91" t="s">
        <v>286</v>
      </c>
      <c r="P91" t="s">
        <v>158</v>
      </c>
    </row>
    <row r="92" spans="1:16" x14ac:dyDescent="0.25">
      <c r="A92" t="s">
        <v>287</v>
      </c>
      <c r="B92" t="s">
        <v>288</v>
      </c>
      <c r="C92" t="s">
        <v>38</v>
      </c>
      <c r="D92" t="s">
        <v>53</v>
      </c>
      <c r="E92" t="s">
        <v>54</v>
      </c>
      <c r="F92" t="s">
        <v>31</v>
      </c>
      <c r="G92" t="s">
        <v>41</v>
      </c>
      <c r="H92" t="s">
        <v>23</v>
      </c>
      <c r="I92">
        <v>182</v>
      </c>
      <c r="J92">
        <v>1.51</v>
      </c>
      <c r="K92">
        <v>274.82</v>
      </c>
      <c r="L92">
        <v>0.97</v>
      </c>
      <c r="M92">
        <v>176.54</v>
      </c>
      <c r="N92">
        <v>98.28</v>
      </c>
      <c r="O92" t="s">
        <v>289</v>
      </c>
      <c r="P92" t="s">
        <v>60</v>
      </c>
    </row>
    <row r="93" spans="1:16" x14ac:dyDescent="0.25">
      <c r="A93" t="s">
        <v>290</v>
      </c>
      <c r="B93" t="s">
        <v>236</v>
      </c>
      <c r="C93" t="s">
        <v>18</v>
      </c>
      <c r="D93" t="s">
        <v>87</v>
      </c>
      <c r="E93" t="s">
        <v>88</v>
      </c>
      <c r="F93" t="s">
        <v>21</v>
      </c>
      <c r="G93" t="s">
        <v>58</v>
      </c>
      <c r="H93" t="s">
        <v>33</v>
      </c>
      <c r="I93">
        <v>136</v>
      </c>
      <c r="J93">
        <v>1.21</v>
      </c>
      <c r="K93">
        <v>164.56</v>
      </c>
      <c r="L93">
        <v>0.49</v>
      </c>
      <c r="M93">
        <v>66.64</v>
      </c>
      <c r="N93">
        <v>97.92</v>
      </c>
      <c r="O93" t="s">
        <v>291</v>
      </c>
      <c r="P93" t="s">
        <v>35</v>
      </c>
    </row>
    <row r="94" spans="1:16" x14ac:dyDescent="0.25">
      <c r="A94" t="s">
        <v>292</v>
      </c>
      <c r="B94" t="s">
        <v>176</v>
      </c>
      <c r="C94" t="s">
        <v>18</v>
      </c>
      <c r="D94" t="s">
        <v>87</v>
      </c>
      <c r="E94" t="s">
        <v>88</v>
      </c>
      <c r="F94" t="s">
        <v>71</v>
      </c>
      <c r="G94" t="s">
        <v>95</v>
      </c>
      <c r="H94" t="s">
        <v>49</v>
      </c>
      <c r="I94">
        <v>198</v>
      </c>
      <c r="J94">
        <v>1.29</v>
      </c>
      <c r="K94">
        <v>255.42</v>
      </c>
      <c r="L94">
        <v>0.81</v>
      </c>
      <c r="M94">
        <v>160.38</v>
      </c>
      <c r="N94">
        <v>95.04</v>
      </c>
      <c r="O94" t="s">
        <v>293</v>
      </c>
      <c r="P94" t="s">
        <v>35</v>
      </c>
    </row>
    <row r="95" spans="1:16" x14ac:dyDescent="0.25">
      <c r="A95" t="s">
        <v>294</v>
      </c>
      <c r="B95" t="s">
        <v>135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>
        <v>73</v>
      </c>
      <c r="J95">
        <v>1.22</v>
      </c>
      <c r="K95">
        <v>89.06</v>
      </c>
      <c r="L95">
        <v>0.68</v>
      </c>
      <c r="M95">
        <v>49.64</v>
      </c>
      <c r="N95">
        <v>39.42</v>
      </c>
      <c r="O95" t="s">
        <v>295</v>
      </c>
      <c r="P95" t="s">
        <v>35</v>
      </c>
    </row>
    <row r="96" spans="1:16" x14ac:dyDescent="0.25">
      <c r="A96" t="s">
        <v>296</v>
      </c>
      <c r="B96" t="s">
        <v>297</v>
      </c>
      <c r="C96" t="s">
        <v>28</v>
      </c>
      <c r="D96" t="s">
        <v>29</v>
      </c>
      <c r="E96" t="s">
        <v>30</v>
      </c>
      <c r="F96" t="s">
        <v>21</v>
      </c>
      <c r="G96" t="s">
        <v>58</v>
      </c>
      <c r="H96" t="s">
        <v>105</v>
      </c>
      <c r="I96">
        <v>123</v>
      </c>
      <c r="J96">
        <v>1.1399999999999999</v>
      </c>
      <c r="K96">
        <v>140.22</v>
      </c>
      <c r="L96">
        <v>0.74</v>
      </c>
      <c r="M96">
        <v>91.02</v>
      </c>
      <c r="N96">
        <v>49.2</v>
      </c>
      <c r="O96" t="s">
        <v>298</v>
      </c>
      <c r="P96" t="s">
        <v>60</v>
      </c>
    </row>
    <row r="97" spans="1:16" x14ac:dyDescent="0.25">
      <c r="A97" t="s">
        <v>299</v>
      </c>
      <c r="B97" t="s">
        <v>227</v>
      </c>
      <c r="C97" t="s">
        <v>18</v>
      </c>
      <c r="D97" t="s">
        <v>19</v>
      </c>
      <c r="E97" t="s">
        <v>20</v>
      </c>
      <c r="F97" t="s">
        <v>71</v>
      </c>
      <c r="G97" t="s">
        <v>95</v>
      </c>
      <c r="H97" t="s">
        <v>105</v>
      </c>
      <c r="I97">
        <v>162</v>
      </c>
      <c r="J97">
        <v>0.95</v>
      </c>
      <c r="K97">
        <v>153.9</v>
      </c>
      <c r="L97">
        <v>0.53</v>
      </c>
      <c r="M97">
        <v>85.86</v>
      </c>
      <c r="N97">
        <v>68.040000000000006</v>
      </c>
      <c r="O97" t="s">
        <v>99</v>
      </c>
      <c r="P97" t="s">
        <v>25</v>
      </c>
    </row>
    <row r="98" spans="1:16" x14ac:dyDescent="0.25">
      <c r="A98" t="s">
        <v>300</v>
      </c>
      <c r="B98" t="s">
        <v>301</v>
      </c>
      <c r="C98" t="s">
        <v>38</v>
      </c>
      <c r="D98" t="s">
        <v>53</v>
      </c>
      <c r="E98" t="s">
        <v>54</v>
      </c>
      <c r="F98" t="s">
        <v>21</v>
      </c>
      <c r="G98" t="s">
        <v>22</v>
      </c>
      <c r="H98" t="s">
        <v>80</v>
      </c>
      <c r="I98">
        <v>190</v>
      </c>
      <c r="J98">
        <v>0.93</v>
      </c>
      <c r="K98">
        <v>176.7</v>
      </c>
      <c r="L98">
        <v>0.59</v>
      </c>
      <c r="M98">
        <v>112.1</v>
      </c>
      <c r="N98">
        <v>64.599999999999994</v>
      </c>
      <c r="O98" t="s">
        <v>302</v>
      </c>
      <c r="P98" t="s">
        <v>25</v>
      </c>
    </row>
    <row r="99" spans="1:16" x14ac:dyDescent="0.25">
      <c r="A99" t="s">
        <v>303</v>
      </c>
      <c r="B99" t="s">
        <v>304</v>
      </c>
      <c r="C99" t="s">
        <v>38</v>
      </c>
      <c r="D99" t="s">
        <v>39</v>
      </c>
      <c r="E99" t="s">
        <v>40</v>
      </c>
      <c r="F99" t="s">
        <v>71</v>
      </c>
      <c r="G99" t="s">
        <v>95</v>
      </c>
      <c r="H99" t="s">
        <v>23</v>
      </c>
      <c r="I99">
        <v>243</v>
      </c>
      <c r="J99">
        <v>1.22</v>
      </c>
      <c r="K99">
        <v>296.45999999999998</v>
      </c>
      <c r="L99">
        <v>0.6</v>
      </c>
      <c r="M99">
        <v>145.80000000000001</v>
      </c>
      <c r="N99">
        <v>150.66</v>
      </c>
      <c r="O99" t="s">
        <v>305</v>
      </c>
      <c r="P99" t="s">
        <v>25</v>
      </c>
    </row>
    <row r="100" spans="1:16" x14ac:dyDescent="0.25">
      <c r="A100" t="s">
        <v>306</v>
      </c>
      <c r="B100" t="s">
        <v>184</v>
      </c>
      <c r="C100" t="s">
        <v>28</v>
      </c>
      <c r="D100" t="s">
        <v>46</v>
      </c>
      <c r="E100" t="s">
        <v>70</v>
      </c>
      <c r="F100" t="s">
        <v>71</v>
      </c>
      <c r="G100" t="s">
        <v>72</v>
      </c>
      <c r="H100" t="s">
        <v>49</v>
      </c>
      <c r="I100">
        <v>136</v>
      </c>
      <c r="J100">
        <v>1.17</v>
      </c>
      <c r="K100">
        <v>159.12</v>
      </c>
      <c r="L100">
        <v>0.59</v>
      </c>
      <c r="M100">
        <v>80.239999999999995</v>
      </c>
      <c r="N100">
        <v>78.88</v>
      </c>
      <c r="O100" t="s">
        <v>268</v>
      </c>
      <c r="P100" t="s">
        <v>60</v>
      </c>
    </row>
    <row r="101" spans="1:16" x14ac:dyDescent="0.25">
      <c r="A101" t="s">
        <v>307</v>
      </c>
      <c r="B101" t="s">
        <v>156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42</v>
      </c>
      <c r="I101">
        <v>226</v>
      </c>
      <c r="J101">
        <v>0.9</v>
      </c>
      <c r="L101">
        <v>0.52</v>
      </c>
      <c r="M101">
        <v>117.52</v>
      </c>
      <c r="N101">
        <v>85.88</v>
      </c>
      <c r="O101" t="s">
        <v>308</v>
      </c>
      <c r="P101" t="s">
        <v>60</v>
      </c>
    </row>
    <row r="102" spans="1:16" x14ac:dyDescent="0.25">
      <c r="A102" t="s">
        <v>309</v>
      </c>
      <c r="B102" t="s">
        <v>288</v>
      </c>
      <c r="C102" t="s">
        <v>38</v>
      </c>
      <c r="D102" t="s">
        <v>53</v>
      </c>
      <c r="E102" t="s">
        <v>54</v>
      </c>
      <c r="F102" t="s">
        <v>21</v>
      </c>
      <c r="G102" t="s">
        <v>22</v>
      </c>
      <c r="H102" t="s">
        <v>105</v>
      </c>
      <c r="I102">
        <v>247</v>
      </c>
      <c r="J102">
        <v>1.43</v>
      </c>
      <c r="K102">
        <v>353.21</v>
      </c>
      <c r="L102">
        <v>0.68</v>
      </c>
      <c r="M102">
        <v>167.96</v>
      </c>
      <c r="N102">
        <v>185.25</v>
      </c>
      <c r="O102" t="s">
        <v>310</v>
      </c>
      <c r="P102" t="s">
        <v>60</v>
      </c>
    </row>
    <row r="103" spans="1:16" x14ac:dyDescent="0.25">
      <c r="A103" t="s">
        <v>311</v>
      </c>
      <c r="B103" t="s">
        <v>205</v>
      </c>
      <c r="C103" t="s">
        <v>28</v>
      </c>
      <c r="D103" t="s">
        <v>29</v>
      </c>
      <c r="E103" t="s">
        <v>30</v>
      </c>
      <c r="F103" t="s">
        <v>31</v>
      </c>
      <c r="G103" t="s">
        <v>32</v>
      </c>
      <c r="H103" t="s">
        <v>49</v>
      </c>
      <c r="I103">
        <v>170</v>
      </c>
      <c r="J103">
        <v>0.9</v>
      </c>
      <c r="K103">
        <v>153</v>
      </c>
      <c r="L103">
        <v>0.57999999999999996</v>
      </c>
      <c r="M103">
        <v>98.6</v>
      </c>
      <c r="N103">
        <v>54.4</v>
      </c>
      <c r="O103" t="s">
        <v>312</v>
      </c>
      <c r="P103" t="s">
        <v>35</v>
      </c>
    </row>
    <row r="104" spans="1:16" x14ac:dyDescent="0.25">
      <c r="A104" t="s">
        <v>313</v>
      </c>
      <c r="B104" t="s">
        <v>189</v>
      </c>
      <c r="C104" t="s">
        <v>28</v>
      </c>
      <c r="D104" t="s">
        <v>29</v>
      </c>
      <c r="E104" t="s">
        <v>30</v>
      </c>
      <c r="F104" t="s">
        <v>21</v>
      </c>
      <c r="G104" t="s">
        <v>58</v>
      </c>
      <c r="H104" t="s">
        <v>23</v>
      </c>
      <c r="I104">
        <v>209</v>
      </c>
      <c r="J104">
        <v>1.23</v>
      </c>
      <c r="K104">
        <v>257.07</v>
      </c>
      <c r="L104">
        <v>0.68</v>
      </c>
      <c r="M104">
        <v>142.12</v>
      </c>
      <c r="N104">
        <v>114.95</v>
      </c>
      <c r="O104" t="s">
        <v>314</v>
      </c>
      <c r="P104" t="s">
        <v>60</v>
      </c>
    </row>
    <row r="105" spans="1:16" x14ac:dyDescent="0.25">
      <c r="A105" t="s">
        <v>315</v>
      </c>
      <c r="B105" t="s">
        <v>220</v>
      </c>
      <c r="C105" t="s">
        <v>28</v>
      </c>
      <c r="D105" t="s">
        <v>29</v>
      </c>
      <c r="E105" t="s">
        <v>30</v>
      </c>
      <c r="F105" t="s">
        <v>31</v>
      </c>
      <c r="G105" t="s">
        <v>48</v>
      </c>
      <c r="H105" t="s">
        <v>33</v>
      </c>
      <c r="I105">
        <v>194</v>
      </c>
      <c r="J105">
        <v>1.04</v>
      </c>
      <c r="K105">
        <v>201.76</v>
      </c>
      <c r="L105">
        <v>0.57999999999999996</v>
      </c>
      <c r="M105">
        <v>112.52</v>
      </c>
      <c r="N105">
        <v>89.24</v>
      </c>
      <c r="O105" t="s">
        <v>99</v>
      </c>
      <c r="P105" t="s">
        <v>60</v>
      </c>
    </row>
    <row r="106" spans="1:16" x14ac:dyDescent="0.25">
      <c r="A106" t="s">
        <v>316</v>
      </c>
      <c r="B106" t="s">
        <v>317</v>
      </c>
      <c r="C106" t="s">
        <v>18</v>
      </c>
      <c r="D106" t="s">
        <v>87</v>
      </c>
      <c r="E106" t="s">
        <v>88</v>
      </c>
      <c r="F106" t="s">
        <v>71</v>
      </c>
      <c r="G106" t="s">
        <v>95</v>
      </c>
      <c r="H106" t="s">
        <v>49</v>
      </c>
      <c r="I106">
        <v>239</v>
      </c>
      <c r="J106">
        <v>1.26</v>
      </c>
      <c r="K106">
        <v>301.14</v>
      </c>
      <c r="L106">
        <v>0.65</v>
      </c>
      <c r="M106">
        <v>155.35</v>
      </c>
      <c r="N106">
        <v>145.79</v>
      </c>
      <c r="O106" t="s">
        <v>163</v>
      </c>
      <c r="P106" t="s">
        <v>25</v>
      </c>
    </row>
    <row r="107" spans="1:16" x14ac:dyDescent="0.25">
      <c r="A107" t="s">
        <v>318</v>
      </c>
      <c r="B107" t="s">
        <v>319</v>
      </c>
      <c r="C107" t="s">
        <v>38</v>
      </c>
      <c r="D107" t="s">
        <v>53</v>
      </c>
      <c r="E107" t="s">
        <v>54</v>
      </c>
      <c r="F107" t="s">
        <v>71</v>
      </c>
      <c r="G107" t="s">
        <v>95</v>
      </c>
      <c r="H107" t="s">
        <v>33</v>
      </c>
      <c r="I107">
        <v>217</v>
      </c>
      <c r="J107">
        <v>0.92</v>
      </c>
      <c r="K107">
        <v>199.64</v>
      </c>
      <c r="L107">
        <v>0.45</v>
      </c>
      <c r="M107">
        <v>97.65</v>
      </c>
      <c r="N107">
        <v>101.99</v>
      </c>
      <c r="O107" t="s">
        <v>320</v>
      </c>
      <c r="P107" t="s">
        <v>60</v>
      </c>
    </row>
    <row r="108" spans="1:16" x14ac:dyDescent="0.25">
      <c r="A108" t="s">
        <v>321</v>
      </c>
      <c r="B108" t="s">
        <v>267</v>
      </c>
      <c r="C108" t="s">
        <v>28</v>
      </c>
      <c r="D108" t="s">
        <v>46</v>
      </c>
      <c r="E108" t="s">
        <v>47</v>
      </c>
      <c r="F108" t="s">
        <v>31</v>
      </c>
      <c r="G108" t="s">
        <v>41</v>
      </c>
      <c r="H108" t="s">
        <v>73</v>
      </c>
      <c r="I108">
        <v>134</v>
      </c>
      <c r="J108">
        <v>1.1200000000000001</v>
      </c>
      <c r="K108">
        <v>150.08000000000001</v>
      </c>
      <c r="L108">
        <v>0.74</v>
      </c>
      <c r="M108">
        <v>99.16</v>
      </c>
      <c r="N108">
        <v>50.92</v>
      </c>
      <c r="O108" t="s">
        <v>127</v>
      </c>
      <c r="P108" t="s">
        <v>60</v>
      </c>
    </row>
    <row r="109" spans="1:16" x14ac:dyDescent="0.25">
      <c r="A109" t="s">
        <v>322</v>
      </c>
      <c r="B109" t="s">
        <v>323</v>
      </c>
      <c r="C109" t="s">
        <v>18</v>
      </c>
      <c r="D109" t="s">
        <v>87</v>
      </c>
      <c r="E109" t="s">
        <v>88</v>
      </c>
      <c r="F109" t="s">
        <v>71</v>
      </c>
      <c r="G109" t="s">
        <v>72</v>
      </c>
      <c r="H109" t="s">
        <v>105</v>
      </c>
      <c r="I109">
        <v>108</v>
      </c>
      <c r="J109">
        <v>1.06</v>
      </c>
      <c r="K109">
        <v>114.48</v>
      </c>
      <c r="L109">
        <v>0.5</v>
      </c>
      <c r="M109">
        <v>54</v>
      </c>
      <c r="N109">
        <v>60.48</v>
      </c>
      <c r="O109" t="s">
        <v>324</v>
      </c>
      <c r="P109" t="s">
        <v>158</v>
      </c>
    </row>
    <row r="110" spans="1:16" x14ac:dyDescent="0.25">
      <c r="A110" t="s">
        <v>325</v>
      </c>
      <c r="B110" t="s">
        <v>326</v>
      </c>
      <c r="C110" t="s">
        <v>38</v>
      </c>
      <c r="D110" t="s">
        <v>53</v>
      </c>
      <c r="E110" t="s">
        <v>54</v>
      </c>
      <c r="F110" t="s">
        <v>31</v>
      </c>
      <c r="G110" t="s">
        <v>32</v>
      </c>
      <c r="H110" t="s">
        <v>66</v>
      </c>
      <c r="I110">
        <v>103</v>
      </c>
      <c r="J110">
        <v>1.52</v>
      </c>
      <c r="K110">
        <v>156.56</v>
      </c>
      <c r="L110">
        <v>0.98</v>
      </c>
      <c r="M110">
        <v>100.94</v>
      </c>
      <c r="N110">
        <v>55.62</v>
      </c>
      <c r="O110" t="s">
        <v>327</v>
      </c>
      <c r="P110" t="s">
        <v>60</v>
      </c>
    </row>
    <row r="111" spans="1:16" x14ac:dyDescent="0.25">
      <c r="A111" t="s">
        <v>328</v>
      </c>
      <c r="B111" t="s">
        <v>329</v>
      </c>
      <c r="C111" t="s">
        <v>18</v>
      </c>
      <c r="D111" t="s">
        <v>87</v>
      </c>
      <c r="E111" t="s">
        <v>88</v>
      </c>
      <c r="F111" t="s">
        <v>21</v>
      </c>
      <c r="G111" t="s">
        <v>22</v>
      </c>
      <c r="H111" t="s">
        <v>73</v>
      </c>
      <c r="I111">
        <v>199</v>
      </c>
      <c r="J111">
        <v>1.58</v>
      </c>
      <c r="K111">
        <v>314.42</v>
      </c>
      <c r="L111">
        <v>0.64</v>
      </c>
      <c r="M111">
        <v>127.36</v>
      </c>
      <c r="N111">
        <v>187.06</v>
      </c>
      <c r="O111" t="s">
        <v>291</v>
      </c>
      <c r="P111" t="s">
        <v>25</v>
      </c>
    </row>
    <row r="112" spans="1:16" x14ac:dyDescent="0.25">
      <c r="A112" t="s">
        <v>330</v>
      </c>
      <c r="B112" t="s">
        <v>187</v>
      </c>
      <c r="C112" t="s">
        <v>18</v>
      </c>
      <c r="D112" t="s">
        <v>87</v>
      </c>
      <c r="E112" t="s">
        <v>88</v>
      </c>
      <c r="F112" t="s">
        <v>21</v>
      </c>
      <c r="G112" t="s">
        <v>58</v>
      </c>
      <c r="H112" t="s">
        <v>73</v>
      </c>
      <c r="I112">
        <v>200</v>
      </c>
      <c r="J112">
        <v>1.02</v>
      </c>
      <c r="K112">
        <v>204</v>
      </c>
      <c r="L112">
        <v>0.46</v>
      </c>
      <c r="M112">
        <v>92</v>
      </c>
      <c r="N112">
        <v>112</v>
      </c>
      <c r="O112" t="s">
        <v>142</v>
      </c>
      <c r="P112" t="s">
        <v>25</v>
      </c>
    </row>
    <row r="113" spans="1:16" x14ac:dyDescent="0.25">
      <c r="A113" t="s">
        <v>331</v>
      </c>
      <c r="B113" t="s">
        <v>332</v>
      </c>
      <c r="C113" t="s">
        <v>28</v>
      </c>
      <c r="D113" t="s">
        <v>29</v>
      </c>
      <c r="E113" t="s">
        <v>30</v>
      </c>
      <c r="F113" t="s">
        <v>71</v>
      </c>
      <c r="G113" t="s">
        <v>72</v>
      </c>
      <c r="H113" t="s">
        <v>42</v>
      </c>
      <c r="I113">
        <v>139</v>
      </c>
      <c r="J113">
        <v>1.42</v>
      </c>
      <c r="K113">
        <v>197.38</v>
      </c>
      <c r="L113">
        <v>0.61</v>
      </c>
      <c r="M113">
        <v>84.79</v>
      </c>
      <c r="N113">
        <v>112.59</v>
      </c>
      <c r="O113" t="s">
        <v>218</v>
      </c>
      <c r="P113" t="s">
        <v>35</v>
      </c>
    </row>
    <row r="114" spans="1:16" x14ac:dyDescent="0.25">
      <c r="A114" t="s">
        <v>333</v>
      </c>
      <c r="B114" t="s">
        <v>265</v>
      </c>
      <c r="C114" t="s">
        <v>18</v>
      </c>
      <c r="D114" t="s">
        <v>87</v>
      </c>
      <c r="E114" t="s">
        <v>88</v>
      </c>
      <c r="F114" t="s">
        <v>71</v>
      </c>
      <c r="G114" t="s">
        <v>72</v>
      </c>
      <c r="H114" t="s">
        <v>23</v>
      </c>
      <c r="I114">
        <v>86</v>
      </c>
      <c r="J114">
        <v>1.51</v>
      </c>
      <c r="K114">
        <v>129.86000000000001</v>
      </c>
      <c r="L114">
        <v>0.72</v>
      </c>
      <c r="M114">
        <v>61.92</v>
      </c>
      <c r="N114">
        <v>67.94</v>
      </c>
      <c r="O114" t="s">
        <v>150</v>
      </c>
      <c r="P114" t="s">
        <v>25</v>
      </c>
    </row>
    <row r="115" spans="1:16" x14ac:dyDescent="0.25">
      <c r="A115" t="s">
        <v>334</v>
      </c>
      <c r="B115" t="s">
        <v>184</v>
      </c>
      <c r="C115" t="s">
        <v>38</v>
      </c>
      <c r="D115" t="s">
        <v>39</v>
      </c>
      <c r="E115" t="s">
        <v>40</v>
      </c>
      <c r="F115" t="s">
        <v>31</v>
      </c>
      <c r="G115" t="s">
        <v>32</v>
      </c>
      <c r="H115" t="s">
        <v>42</v>
      </c>
      <c r="I115">
        <v>171</v>
      </c>
      <c r="J115">
        <v>1.55</v>
      </c>
      <c r="K115">
        <v>265.05</v>
      </c>
      <c r="L115">
        <v>1.07</v>
      </c>
      <c r="M115">
        <v>182.97</v>
      </c>
      <c r="N115">
        <v>82.08</v>
      </c>
      <c r="O115" t="s">
        <v>335</v>
      </c>
      <c r="P115" t="s">
        <v>60</v>
      </c>
    </row>
    <row r="116" spans="1:16" x14ac:dyDescent="0.25">
      <c r="A116" t="s">
        <v>336</v>
      </c>
      <c r="B116" t="s">
        <v>182</v>
      </c>
      <c r="C116" t="s">
        <v>18</v>
      </c>
      <c r="D116" t="s">
        <v>87</v>
      </c>
      <c r="E116" t="s">
        <v>88</v>
      </c>
      <c r="F116" t="s">
        <v>71</v>
      </c>
      <c r="G116" t="s">
        <v>95</v>
      </c>
      <c r="H116" t="s">
        <v>23</v>
      </c>
      <c r="I116">
        <v>97</v>
      </c>
      <c r="J116">
        <v>1.44</v>
      </c>
      <c r="K116">
        <v>139.68</v>
      </c>
      <c r="L116">
        <v>0.63</v>
      </c>
      <c r="M116">
        <v>61.11</v>
      </c>
      <c r="N116">
        <v>78.569999999999993</v>
      </c>
      <c r="O116" t="s">
        <v>337</v>
      </c>
      <c r="P116" t="s">
        <v>25</v>
      </c>
    </row>
    <row r="117" spans="1:16" x14ac:dyDescent="0.25">
      <c r="A117" t="s">
        <v>338</v>
      </c>
      <c r="B117" t="s">
        <v>339</v>
      </c>
      <c r="C117" t="s">
        <v>18</v>
      </c>
      <c r="D117" t="s">
        <v>87</v>
      </c>
      <c r="E117" t="s">
        <v>88</v>
      </c>
      <c r="F117" t="s">
        <v>71</v>
      </c>
      <c r="G117" t="s">
        <v>95</v>
      </c>
      <c r="H117" t="s">
        <v>105</v>
      </c>
      <c r="I117">
        <v>147</v>
      </c>
      <c r="J117">
        <v>1.58</v>
      </c>
      <c r="K117">
        <v>232.26</v>
      </c>
      <c r="L117">
        <v>0.98</v>
      </c>
      <c r="M117">
        <v>144.06</v>
      </c>
      <c r="N117">
        <v>88.2</v>
      </c>
      <c r="O117" t="s">
        <v>340</v>
      </c>
      <c r="P117" t="s">
        <v>60</v>
      </c>
    </row>
    <row r="118" spans="1:16" x14ac:dyDescent="0.25">
      <c r="A118" t="s">
        <v>341</v>
      </c>
      <c r="B118" t="s">
        <v>17</v>
      </c>
      <c r="C118" t="s">
        <v>38</v>
      </c>
      <c r="D118" t="s">
        <v>39</v>
      </c>
      <c r="E118" t="s">
        <v>40</v>
      </c>
      <c r="F118" t="s">
        <v>31</v>
      </c>
      <c r="G118" t="s">
        <v>32</v>
      </c>
      <c r="H118" t="s">
        <v>80</v>
      </c>
      <c r="I118">
        <v>204</v>
      </c>
      <c r="J118">
        <v>0.99</v>
      </c>
      <c r="K118">
        <v>201.96</v>
      </c>
      <c r="L118">
        <v>0.44</v>
      </c>
      <c r="M118">
        <v>89.76</v>
      </c>
      <c r="N118">
        <v>112.2</v>
      </c>
      <c r="O118" t="s">
        <v>342</v>
      </c>
      <c r="P118" t="s">
        <v>35</v>
      </c>
    </row>
    <row r="119" spans="1:16" x14ac:dyDescent="0.25">
      <c r="A119" t="s">
        <v>343</v>
      </c>
      <c r="B119" t="s">
        <v>173</v>
      </c>
      <c r="C119" t="s">
        <v>18</v>
      </c>
      <c r="D119" t="s">
        <v>87</v>
      </c>
      <c r="E119" t="s">
        <v>88</v>
      </c>
      <c r="F119" t="s">
        <v>31</v>
      </c>
      <c r="G119" t="s">
        <v>32</v>
      </c>
      <c r="H119" t="s">
        <v>23</v>
      </c>
      <c r="I119">
        <v>235</v>
      </c>
      <c r="J119">
        <v>1.1599999999999999</v>
      </c>
      <c r="K119">
        <v>272.60000000000002</v>
      </c>
      <c r="L119">
        <v>0.76</v>
      </c>
      <c r="M119">
        <v>178.6</v>
      </c>
      <c r="N119">
        <v>94</v>
      </c>
      <c r="O119" t="s">
        <v>96</v>
      </c>
      <c r="P119" t="s">
        <v>25</v>
      </c>
    </row>
    <row r="120" spans="1:16" x14ac:dyDescent="0.25">
      <c r="A120" t="s">
        <v>344</v>
      </c>
      <c r="B120" t="s">
        <v>17</v>
      </c>
      <c r="C120" t="s">
        <v>18</v>
      </c>
      <c r="D120" t="s">
        <v>87</v>
      </c>
      <c r="E120" t="s">
        <v>88</v>
      </c>
      <c r="F120" t="s">
        <v>31</v>
      </c>
      <c r="G120" t="s">
        <v>41</v>
      </c>
      <c r="H120" t="s">
        <v>33</v>
      </c>
      <c r="I120">
        <v>122</v>
      </c>
      <c r="J120">
        <v>1.42</v>
      </c>
      <c r="K120">
        <v>173.24</v>
      </c>
      <c r="L120">
        <v>0.91</v>
      </c>
      <c r="M120">
        <v>111.02</v>
      </c>
      <c r="N120">
        <v>62.22</v>
      </c>
      <c r="O120" t="s">
        <v>345</v>
      </c>
      <c r="P120" t="s">
        <v>60</v>
      </c>
    </row>
    <row r="121" spans="1:16" x14ac:dyDescent="0.25">
      <c r="A121" t="s">
        <v>346</v>
      </c>
      <c r="B121" t="s">
        <v>347</v>
      </c>
      <c r="C121" t="s">
        <v>28</v>
      </c>
      <c r="D121" t="s">
        <v>46</v>
      </c>
      <c r="E121" t="s">
        <v>70</v>
      </c>
      <c r="F121" t="s">
        <v>71</v>
      </c>
      <c r="G121" t="s">
        <v>95</v>
      </c>
      <c r="H121" t="s">
        <v>49</v>
      </c>
      <c r="I121">
        <v>164</v>
      </c>
      <c r="J121">
        <v>1.55</v>
      </c>
      <c r="L121">
        <v>0.84</v>
      </c>
      <c r="M121">
        <v>137.76</v>
      </c>
      <c r="N121">
        <v>116.44</v>
      </c>
      <c r="O121" t="s">
        <v>348</v>
      </c>
      <c r="P12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DC15F-0B4E-40CD-B7BF-EF32ECA64CA5}">
  <dimension ref="A1:C46"/>
  <sheetViews>
    <sheetView topLeftCell="A34" workbookViewId="0">
      <selection activeCell="B14" sqref="B14"/>
    </sheetView>
  </sheetViews>
  <sheetFormatPr defaultRowHeight="15" x14ac:dyDescent="0.25"/>
  <cols>
    <col min="1" max="1" width="76.375" customWidth="1"/>
  </cols>
  <sheetData>
    <row r="1" spans="1:3" ht="18" x14ac:dyDescent="0.25">
      <c r="A1" s="1" t="s">
        <v>349</v>
      </c>
    </row>
    <row r="2" spans="1:3" x14ac:dyDescent="0.25">
      <c r="A2" s="2" t="s">
        <v>350</v>
      </c>
      <c r="B2" s="12" t="s">
        <v>391</v>
      </c>
      <c r="C2" s="12" t="s">
        <v>392</v>
      </c>
    </row>
    <row r="3" spans="1:3" x14ac:dyDescent="0.25">
      <c r="A3" s="2" t="s">
        <v>351</v>
      </c>
      <c r="B3" s="12" t="s">
        <v>391</v>
      </c>
      <c r="C3" s="12" t="s">
        <v>393</v>
      </c>
    </row>
    <row r="4" spans="1:3" x14ac:dyDescent="0.25">
      <c r="A4" s="2" t="s">
        <v>352</v>
      </c>
      <c r="B4" s="12" t="s">
        <v>391</v>
      </c>
      <c r="C4" s="12" t="s">
        <v>394</v>
      </c>
    </row>
    <row r="5" spans="1:3" x14ac:dyDescent="0.25">
      <c r="A5" s="2" t="s">
        <v>353</v>
      </c>
      <c r="B5" s="12" t="s">
        <v>391</v>
      </c>
      <c r="C5" s="12" t="s">
        <v>395</v>
      </c>
    </row>
    <row r="6" spans="1:3" x14ac:dyDescent="0.25">
      <c r="B6" s="12"/>
      <c r="C6" s="12"/>
    </row>
    <row r="7" spans="1:3" ht="18" x14ac:dyDescent="0.25">
      <c r="A7" s="1" t="s">
        <v>354</v>
      </c>
      <c r="B7" s="12"/>
      <c r="C7" s="12"/>
    </row>
    <row r="8" spans="1:3" x14ac:dyDescent="0.25">
      <c r="A8" s="2" t="s">
        <v>355</v>
      </c>
      <c r="B8" s="12" t="s">
        <v>396</v>
      </c>
      <c r="C8" s="12"/>
    </row>
    <row r="9" spans="1:3" x14ac:dyDescent="0.25">
      <c r="A9" s="2" t="s">
        <v>356</v>
      </c>
      <c r="B9" s="12" t="s">
        <v>397</v>
      </c>
      <c r="C9" s="12"/>
    </row>
    <row r="10" spans="1:3" x14ac:dyDescent="0.25">
      <c r="A10" s="2" t="s">
        <v>357</v>
      </c>
      <c r="B10" s="12" t="s">
        <v>396</v>
      </c>
      <c r="C10" s="12"/>
    </row>
    <row r="12" spans="1:3" ht="18" x14ac:dyDescent="0.25">
      <c r="A12" s="1" t="s">
        <v>358</v>
      </c>
    </row>
    <row r="13" spans="1:3" x14ac:dyDescent="0.25">
      <c r="A13" s="2" t="s">
        <v>359</v>
      </c>
      <c r="B13" t="s">
        <v>398</v>
      </c>
    </row>
    <row r="14" spans="1:3" x14ac:dyDescent="0.25">
      <c r="A14" s="2" t="s">
        <v>360</v>
      </c>
      <c r="B14" t="s">
        <v>399</v>
      </c>
    </row>
    <row r="15" spans="1:3" x14ac:dyDescent="0.25">
      <c r="A15" s="2" t="s">
        <v>361</v>
      </c>
      <c r="B15" t="s">
        <v>396</v>
      </c>
    </row>
    <row r="16" spans="1:3" x14ac:dyDescent="0.25">
      <c r="A16" s="2" t="s">
        <v>362</v>
      </c>
      <c r="B16" t="s">
        <v>400</v>
      </c>
    </row>
    <row r="18" spans="1:2" ht="18" x14ac:dyDescent="0.25">
      <c r="A18" s="1" t="s">
        <v>363</v>
      </c>
    </row>
    <row r="19" spans="1:2" x14ac:dyDescent="0.25">
      <c r="A19" s="2" t="s">
        <v>364</v>
      </c>
      <c r="B19" t="s">
        <v>401</v>
      </c>
    </row>
    <row r="20" spans="1:2" x14ac:dyDescent="0.25">
      <c r="A20" s="2" t="s">
        <v>365</v>
      </c>
      <c r="B20" t="s">
        <v>396</v>
      </c>
    </row>
    <row r="22" spans="1:2" ht="18" x14ac:dyDescent="0.25">
      <c r="A22" s="1" t="s">
        <v>366</v>
      </c>
    </row>
    <row r="23" spans="1:2" x14ac:dyDescent="0.25">
      <c r="A23" s="2" t="s">
        <v>367</v>
      </c>
      <c r="B23" t="s">
        <v>396</v>
      </c>
    </row>
    <row r="24" spans="1:2" x14ac:dyDescent="0.25">
      <c r="A24" s="2" t="s">
        <v>368</v>
      </c>
      <c r="B24" t="s">
        <v>396</v>
      </c>
    </row>
    <row r="25" spans="1:2" x14ac:dyDescent="0.25">
      <c r="A25" s="2" t="s">
        <v>369</v>
      </c>
      <c r="B25" t="s">
        <v>400</v>
      </c>
    </row>
    <row r="27" spans="1:2" ht="18" x14ac:dyDescent="0.25">
      <c r="A27" s="1" t="s">
        <v>370</v>
      </c>
    </row>
    <row r="28" spans="1:2" x14ac:dyDescent="0.25">
      <c r="A28" s="2" t="s">
        <v>371</v>
      </c>
      <c r="B28" t="s">
        <v>402</v>
      </c>
    </row>
    <row r="29" spans="1:2" x14ac:dyDescent="0.25">
      <c r="A29" s="2" t="s">
        <v>372</v>
      </c>
      <c r="B29" t="s">
        <v>402</v>
      </c>
    </row>
    <row r="30" spans="1:2" x14ac:dyDescent="0.25">
      <c r="A30" s="2" t="s">
        <v>373</v>
      </c>
      <c r="B30" t="s">
        <v>402</v>
      </c>
    </row>
    <row r="32" spans="1:2" ht="18" x14ac:dyDescent="0.25">
      <c r="A32" s="1" t="s">
        <v>374</v>
      </c>
    </row>
    <row r="33" spans="1:2" x14ac:dyDescent="0.25">
      <c r="A33" s="2" t="s">
        <v>375</v>
      </c>
      <c r="B33" t="s">
        <v>396</v>
      </c>
    </row>
    <row r="34" spans="1:2" x14ac:dyDescent="0.25">
      <c r="A34" s="2" t="s">
        <v>376</v>
      </c>
      <c r="B34" t="s">
        <v>403</v>
      </c>
    </row>
    <row r="35" spans="1:2" x14ac:dyDescent="0.25">
      <c r="A35" s="2" t="s">
        <v>377</v>
      </c>
      <c r="B35" t="s">
        <v>403</v>
      </c>
    </row>
    <row r="36" spans="1:2" x14ac:dyDescent="0.25">
      <c r="A36" s="2" t="s">
        <v>378</v>
      </c>
      <c r="B36" t="s">
        <v>396</v>
      </c>
    </row>
    <row r="37" spans="1:2" x14ac:dyDescent="0.25">
      <c r="A37" s="2" t="s">
        <v>379</v>
      </c>
      <c r="B37" t="s">
        <v>400</v>
      </c>
    </row>
    <row r="39" spans="1:2" ht="18" x14ac:dyDescent="0.25">
      <c r="A39" s="1" t="s">
        <v>380</v>
      </c>
    </row>
    <row r="40" spans="1:2" x14ac:dyDescent="0.25">
      <c r="A40" s="2" t="s">
        <v>381</v>
      </c>
      <c r="B40" t="s">
        <v>391</v>
      </c>
    </row>
    <row r="41" spans="1:2" x14ac:dyDescent="0.25">
      <c r="A41" s="2" t="s">
        <v>382</v>
      </c>
      <c r="B41" t="s">
        <v>404</v>
      </c>
    </row>
    <row r="42" spans="1:2" x14ac:dyDescent="0.25">
      <c r="A42" s="2" t="s">
        <v>383</v>
      </c>
      <c r="B42" t="s">
        <v>409</v>
      </c>
    </row>
    <row r="43" spans="1:2" x14ac:dyDescent="0.25">
      <c r="B43" t="s">
        <v>405</v>
      </c>
    </row>
    <row r="44" spans="1:2" x14ac:dyDescent="0.25">
      <c r="B44" t="s">
        <v>406</v>
      </c>
    </row>
    <row r="45" spans="1:2" x14ac:dyDescent="0.25">
      <c r="B45" t="s">
        <v>407</v>
      </c>
    </row>
    <row r="46" spans="1:2" x14ac:dyDescent="0.25">
      <c r="B46" t="s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8845-56CE-4EE6-A72E-39B2DC9C5445}">
  <dimension ref="A1:P121"/>
  <sheetViews>
    <sheetView workbookViewId="0">
      <selection activeCell="L2" sqref="L2"/>
    </sheetView>
  </sheetViews>
  <sheetFormatPr defaultRowHeight="15" x14ac:dyDescent="0.25"/>
  <cols>
    <col min="1" max="1" width="11.25" customWidth="1"/>
    <col min="2" max="2" width="13.5" customWidth="1"/>
    <col min="3" max="3" width="9.375" customWidth="1"/>
    <col min="4" max="4" width="10.25" customWidth="1"/>
    <col min="5" max="6" width="9.5" customWidth="1"/>
    <col min="7" max="7" width="19.375" customWidth="1"/>
    <col min="8" max="8" width="13.875" customWidth="1"/>
    <col min="9" max="9" width="10" customWidth="1"/>
    <col min="10" max="10" width="8.875" customWidth="1"/>
    <col min="11" max="11" width="11.625" customWidth="1"/>
    <col min="12" max="12" width="12.25" customWidth="1"/>
    <col min="13" max="13" width="12.5" customWidth="1"/>
    <col min="14" max="14" width="8.25" customWidth="1"/>
    <col min="15" max="15" width="15.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16</v>
      </c>
      <c r="B2" s="3">
        <v>45722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187</v>
      </c>
      <c r="J2">
        <v>0.84</v>
      </c>
      <c r="K2" s="4">
        <v>157.07999999999998</v>
      </c>
      <c r="L2" t="s">
        <v>25</v>
      </c>
      <c r="M2" s="4">
        <v>0.56000000000000005</v>
      </c>
      <c r="N2" s="4">
        <v>104.72000000000001</v>
      </c>
      <c r="O2">
        <v>52.36</v>
      </c>
      <c r="P2" s="5">
        <v>0.33333333333333337</v>
      </c>
    </row>
    <row r="3" spans="1:16" x14ac:dyDescent="0.25">
      <c r="A3" t="s">
        <v>26</v>
      </c>
      <c r="B3" s="3">
        <v>45688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244</v>
      </c>
      <c r="J3">
        <v>1.1599999999999999</v>
      </c>
      <c r="K3" s="4">
        <v>283.03999999999996</v>
      </c>
      <c r="L3" t="s">
        <v>35</v>
      </c>
      <c r="M3" s="4">
        <v>0.5</v>
      </c>
      <c r="N3" s="4">
        <v>122</v>
      </c>
      <c r="O3">
        <v>161.04</v>
      </c>
      <c r="P3" s="5">
        <v>0.56896551724137934</v>
      </c>
    </row>
    <row r="4" spans="1:16" x14ac:dyDescent="0.25">
      <c r="A4" t="s">
        <v>36</v>
      </c>
      <c r="B4" s="3">
        <v>45702</v>
      </c>
      <c r="C4" t="s">
        <v>38</v>
      </c>
      <c r="D4" t="s">
        <v>39</v>
      </c>
      <c r="E4" t="s">
        <v>40</v>
      </c>
      <c r="F4" t="s">
        <v>31</v>
      </c>
      <c r="G4" t="s">
        <v>41</v>
      </c>
      <c r="H4" t="s">
        <v>42</v>
      </c>
      <c r="I4">
        <v>65</v>
      </c>
      <c r="J4">
        <v>1.07</v>
      </c>
      <c r="K4" s="4">
        <v>69.55</v>
      </c>
      <c r="L4" t="s">
        <v>35</v>
      </c>
      <c r="M4" s="4">
        <v>0.62</v>
      </c>
      <c r="N4" s="4">
        <v>40.299999999999997</v>
      </c>
      <c r="O4">
        <v>29.25</v>
      </c>
      <c r="P4" s="5">
        <v>0.42056074766355139</v>
      </c>
    </row>
    <row r="5" spans="1:16" x14ac:dyDescent="0.25">
      <c r="A5" t="s">
        <v>44</v>
      </c>
      <c r="B5" s="3">
        <v>45707</v>
      </c>
      <c r="C5" t="s">
        <v>28</v>
      </c>
      <c r="D5" t="s">
        <v>46</v>
      </c>
      <c r="E5" t="s">
        <v>47</v>
      </c>
      <c r="F5" t="s">
        <v>31</v>
      </c>
      <c r="G5" t="s">
        <v>48</v>
      </c>
      <c r="H5" t="s">
        <v>49</v>
      </c>
      <c r="I5">
        <v>76</v>
      </c>
      <c r="J5">
        <v>1.18</v>
      </c>
      <c r="K5" s="4">
        <v>89.679999999999993</v>
      </c>
      <c r="L5" t="s">
        <v>25</v>
      </c>
      <c r="M5" s="4">
        <v>0.55000000000000004</v>
      </c>
      <c r="N5" s="4">
        <v>41.800000000000004</v>
      </c>
      <c r="O5">
        <v>47.88</v>
      </c>
      <c r="P5" s="5">
        <v>0.53389830508474578</v>
      </c>
    </row>
    <row r="6" spans="1:16" x14ac:dyDescent="0.25">
      <c r="A6" t="s">
        <v>51</v>
      </c>
      <c r="B6" s="3">
        <v>45686</v>
      </c>
      <c r="C6" t="s">
        <v>38</v>
      </c>
      <c r="D6" t="s">
        <v>53</v>
      </c>
      <c r="E6" t="s">
        <v>54</v>
      </c>
      <c r="F6" t="s">
        <v>31</v>
      </c>
      <c r="G6" t="s">
        <v>41</v>
      </c>
      <c r="H6" t="s">
        <v>42</v>
      </c>
      <c r="I6">
        <v>50</v>
      </c>
      <c r="J6">
        <v>1.35</v>
      </c>
      <c r="K6" s="4">
        <v>67.5</v>
      </c>
      <c r="L6" t="s">
        <v>25</v>
      </c>
      <c r="M6" s="4">
        <v>0.81</v>
      </c>
      <c r="N6" s="4">
        <v>40.5</v>
      </c>
      <c r="O6">
        <v>27</v>
      </c>
      <c r="P6" s="5">
        <v>0.4</v>
      </c>
    </row>
    <row r="7" spans="1:16" x14ac:dyDescent="0.25">
      <c r="A7" t="s">
        <v>56</v>
      </c>
      <c r="B7" s="3">
        <v>45671</v>
      </c>
      <c r="C7" t="s">
        <v>28</v>
      </c>
      <c r="D7" t="s">
        <v>29</v>
      </c>
      <c r="E7" t="s">
        <v>30</v>
      </c>
      <c r="F7" t="s">
        <v>21</v>
      </c>
      <c r="G7" t="s">
        <v>58</v>
      </c>
      <c r="H7" t="s">
        <v>33</v>
      </c>
      <c r="I7">
        <v>110</v>
      </c>
      <c r="J7">
        <v>1.1299999999999999</v>
      </c>
      <c r="K7" s="4">
        <v>124.29999999999998</v>
      </c>
      <c r="L7" t="s">
        <v>60</v>
      </c>
      <c r="M7" s="4">
        <v>0.69</v>
      </c>
      <c r="N7" s="4">
        <v>75.899999999999991</v>
      </c>
      <c r="O7">
        <v>48.4</v>
      </c>
      <c r="P7" s="5">
        <v>0.38938053097345138</v>
      </c>
    </row>
    <row r="8" spans="1:16" x14ac:dyDescent="0.25">
      <c r="A8" t="s">
        <v>61</v>
      </c>
      <c r="B8" s="3">
        <v>45679</v>
      </c>
      <c r="C8" t="s">
        <v>28</v>
      </c>
      <c r="D8" t="s">
        <v>46</v>
      </c>
      <c r="E8" t="s">
        <v>47</v>
      </c>
      <c r="F8" t="s">
        <v>21</v>
      </c>
      <c r="G8" t="s">
        <v>22</v>
      </c>
      <c r="H8" t="s">
        <v>33</v>
      </c>
      <c r="I8">
        <v>150</v>
      </c>
      <c r="J8">
        <v>1.51</v>
      </c>
      <c r="K8" s="4">
        <v>226.5</v>
      </c>
      <c r="L8" t="s">
        <v>25</v>
      </c>
      <c r="M8" s="4">
        <v>0.92</v>
      </c>
      <c r="N8" s="4">
        <v>138</v>
      </c>
      <c r="O8">
        <v>88.5</v>
      </c>
      <c r="P8" s="5">
        <v>0.39072847682119205</v>
      </c>
    </row>
    <row r="9" spans="1:16" x14ac:dyDescent="0.25">
      <c r="A9" t="s">
        <v>64</v>
      </c>
      <c r="B9" s="3">
        <v>45683</v>
      </c>
      <c r="C9" t="s">
        <v>28</v>
      </c>
      <c r="D9" t="s">
        <v>29</v>
      </c>
      <c r="E9" t="s">
        <v>30</v>
      </c>
      <c r="F9" t="s">
        <v>21</v>
      </c>
      <c r="G9" t="s">
        <v>58</v>
      </c>
      <c r="H9" t="s">
        <v>66</v>
      </c>
      <c r="I9">
        <v>106</v>
      </c>
      <c r="J9">
        <v>0.98</v>
      </c>
      <c r="K9" s="4">
        <v>103.88</v>
      </c>
      <c r="L9" t="s">
        <v>25</v>
      </c>
      <c r="M9" s="4">
        <v>0.67</v>
      </c>
      <c r="N9" s="4">
        <v>71.02000000000001</v>
      </c>
      <c r="O9">
        <v>32.86</v>
      </c>
      <c r="P9" s="5">
        <v>0.31632653061224492</v>
      </c>
    </row>
    <row r="10" spans="1:16" x14ac:dyDescent="0.25">
      <c r="A10" t="s">
        <v>68</v>
      </c>
      <c r="B10" s="3">
        <v>45684</v>
      </c>
      <c r="C10" t="s">
        <v>28</v>
      </c>
      <c r="D10" t="s">
        <v>46</v>
      </c>
      <c r="E10" t="s">
        <v>70</v>
      </c>
      <c r="F10" t="s">
        <v>71</v>
      </c>
      <c r="G10" t="s">
        <v>72</v>
      </c>
      <c r="H10" t="s">
        <v>73</v>
      </c>
      <c r="I10">
        <v>60</v>
      </c>
      <c r="J10">
        <v>1.48</v>
      </c>
      <c r="K10" s="4">
        <v>88.8</v>
      </c>
      <c r="L10" t="s">
        <v>25</v>
      </c>
      <c r="M10" s="4">
        <v>0.81</v>
      </c>
      <c r="N10" s="4">
        <v>48.6</v>
      </c>
      <c r="O10">
        <v>40.200000000000003</v>
      </c>
      <c r="P10" s="5">
        <v>0.45270270270270274</v>
      </c>
    </row>
    <row r="11" spans="1:16" x14ac:dyDescent="0.25">
      <c r="A11" t="s">
        <v>75</v>
      </c>
      <c r="B11" s="3">
        <v>45658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200</v>
      </c>
      <c r="J11">
        <v>1.52</v>
      </c>
      <c r="K11" s="4">
        <v>304</v>
      </c>
      <c r="L11" t="s">
        <v>60</v>
      </c>
      <c r="M11" s="4">
        <v>0.81</v>
      </c>
      <c r="N11" s="4">
        <v>162</v>
      </c>
      <c r="O11">
        <v>142</v>
      </c>
      <c r="P11" s="5">
        <v>0.46710526315789475</v>
      </c>
    </row>
    <row r="12" spans="1:16" x14ac:dyDescent="0.25">
      <c r="A12" t="s">
        <v>78</v>
      </c>
      <c r="B12" s="3">
        <v>45712</v>
      </c>
      <c r="C12" t="s">
        <v>38</v>
      </c>
      <c r="D12" t="s">
        <v>39</v>
      </c>
      <c r="E12" t="s">
        <v>40</v>
      </c>
      <c r="F12" t="s">
        <v>31</v>
      </c>
      <c r="G12" t="s">
        <v>48</v>
      </c>
      <c r="H12" t="s">
        <v>80</v>
      </c>
      <c r="I12">
        <v>197</v>
      </c>
      <c r="J12">
        <v>0.85</v>
      </c>
      <c r="K12" s="4">
        <v>167.45</v>
      </c>
      <c r="L12" t="s">
        <v>60</v>
      </c>
      <c r="M12" s="4">
        <v>0.52</v>
      </c>
      <c r="N12" s="4">
        <v>102.44</v>
      </c>
      <c r="O12">
        <v>65.010000000000005</v>
      </c>
      <c r="P12" s="5">
        <v>0.38823529411764712</v>
      </c>
    </row>
    <row r="13" spans="1:16" x14ac:dyDescent="0.25">
      <c r="A13" t="s">
        <v>82</v>
      </c>
      <c r="B13" s="3">
        <v>45669</v>
      </c>
      <c r="C13" t="s">
        <v>38</v>
      </c>
      <c r="D13" t="s">
        <v>53</v>
      </c>
      <c r="E13" t="s">
        <v>54</v>
      </c>
      <c r="F13" t="s">
        <v>31</v>
      </c>
      <c r="G13" t="s">
        <v>41</v>
      </c>
      <c r="H13" t="s">
        <v>73</v>
      </c>
      <c r="I13">
        <v>185</v>
      </c>
      <c r="J13">
        <v>1.21</v>
      </c>
      <c r="K13" s="4">
        <v>223.85</v>
      </c>
      <c r="L13" t="s">
        <v>60</v>
      </c>
      <c r="M13" s="4">
        <v>0.57999999999999996</v>
      </c>
      <c r="N13" s="4">
        <v>107.3</v>
      </c>
      <c r="O13">
        <v>116.55</v>
      </c>
      <c r="P13" s="5">
        <v>0.52066115702479343</v>
      </c>
    </row>
    <row r="14" spans="1:16" x14ac:dyDescent="0.25">
      <c r="A14" t="s">
        <v>85</v>
      </c>
      <c r="B14" s="3">
        <v>45739</v>
      </c>
      <c r="C14" t="s">
        <v>18</v>
      </c>
      <c r="D14" t="s">
        <v>87</v>
      </c>
      <c r="E14" t="s">
        <v>88</v>
      </c>
      <c r="F14" t="s">
        <v>21</v>
      </c>
      <c r="G14" t="s">
        <v>22</v>
      </c>
      <c r="H14" t="s">
        <v>80</v>
      </c>
      <c r="I14">
        <v>205</v>
      </c>
      <c r="J14">
        <v>1.44</v>
      </c>
      <c r="K14" s="4">
        <v>295.2</v>
      </c>
      <c r="L14" t="s">
        <v>25</v>
      </c>
      <c r="M14" s="4">
        <v>0.89</v>
      </c>
      <c r="N14" s="4">
        <v>182.45</v>
      </c>
      <c r="O14">
        <v>112.75</v>
      </c>
      <c r="P14" s="5">
        <v>0.38194444444444448</v>
      </c>
    </row>
    <row r="15" spans="1:16" x14ac:dyDescent="0.25">
      <c r="A15" t="s">
        <v>90</v>
      </c>
      <c r="B15" s="3">
        <v>45683</v>
      </c>
      <c r="C15" t="s">
        <v>28</v>
      </c>
      <c r="D15" t="s">
        <v>46</v>
      </c>
      <c r="E15" t="s">
        <v>47</v>
      </c>
      <c r="F15" t="s">
        <v>21</v>
      </c>
      <c r="G15" t="s">
        <v>91</v>
      </c>
      <c r="H15" t="s">
        <v>42</v>
      </c>
      <c r="I15">
        <v>66</v>
      </c>
      <c r="J15">
        <v>0.97</v>
      </c>
      <c r="K15" s="4">
        <v>64.02</v>
      </c>
      <c r="L15" t="s">
        <v>60</v>
      </c>
      <c r="M15" s="4">
        <v>0.56000000000000005</v>
      </c>
      <c r="N15" s="4">
        <v>36.96</v>
      </c>
      <c r="O15">
        <v>27.06</v>
      </c>
      <c r="P15" s="5">
        <v>0.42268041237113402</v>
      </c>
    </row>
    <row r="16" spans="1:16" x14ac:dyDescent="0.25">
      <c r="A16" t="s">
        <v>93</v>
      </c>
      <c r="B16" s="3">
        <v>45675</v>
      </c>
      <c r="C16" t="s">
        <v>38</v>
      </c>
      <c r="D16" t="s">
        <v>39</v>
      </c>
      <c r="E16" t="s">
        <v>40</v>
      </c>
      <c r="F16" t="s">
        <v>71</v>
      </c>
      <c r="G16" t="s">
        <v>95</v>
      </c>
      <c r="H16" t="s">
        <v>73</v>
      </c>
      <c r="I16">
        <v>208</v>
      </c>
      <c r="J16">
        <v>1.19</v>
      </c>
      <c r="K16" s="4">
        <v>247.51999999999998</v>
      </c>
      <c r="L16" t="s">
        <v>25</v>
      </c>
      <c r="M16" s="4">
        <v>0.78</v>
      </c>
      <c r="N16" s="4">
        <v>162.24</v>
      </c>
      <c r="O16">
        <v>85.28</v>
      </c>
      <c r="P16" s="5">
        <v>0.34453781512605047</v>
      </c>
    </row>
    <row r="17" spans="1:16" x14ac:dyDescent="0.25">
      <c r="A17" t="s">
        <v>97</v>
      </c>
      <c r="B17" s="3">
        <v>45725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 t="s">
        <v>49</v>
      </c>
      <c r="I17">
        <v>240</v>
      </c>
      <c r="J17">
        <v>1.38</v>
      </c>
      <c r="K17" s="4">
        <v>331.2</v>
      </c>
      <c r="L17" t="s">
        <v>60</v>
      </c>
      <c r="M17" s="4">
        <v>0.77</v>
      </c>
      <c r="N17" s="4">
        <v>184.8</v>
      </c>
      <c r="O17">
        <v>146.4</v>
      </c>
      <c r="P17" s="5">
        <v>0.4420289855072464</v>
      </c>
    </row>
    <row r="18" spans="1:16" x14ac:dyDescent="0.25">
      <c r="A18" t="s">
        <v>100</v>
      </c>
      <c r="B18" s="3">
        <v>45727</v>
      </c>
      <c r="C18" t="s">
        <v>18</v>
      </c>
      <c r="D18" t="s">
        <v>19</v>
      </c>
      <c r="E18" t="s">
        <v>20</v>
      </c>
      <c r="F18" t="s">
        <v>71</v>
      </c>
      <c r="G18" t="s">
        <v>72</v>
      </c>
      <c r="H18" t="s">
        <v>80</v>
      </c>
      <c r="I18">
        <v>91</v>
      </c>
      <c r="J18">
        <v>1.03</v>
      </c>
      <c r="K18" s="4">
        <v>93.73</v>
      </c>
      <c r="L18" t="s">
        <v>60</v>
      </c>
      <c r="M18" s="4">
        <v>0.5</v>
      </c>
      <c r="N18" s="4">
        <v>45.5</v>
      </c>
      <c r="O18">
        <v>48.23</v>
      </c>
      <c r="P18" s="5">
        <v>0.5145631067961165</v>
      </c>
    </row>
    <row r="19" spans="1:16" x14ac:dyDescent="0.25">
      <c r="A19" t="s">
        <v>103</v>
      </c>
      <c r="B19" s="3">
        <v>45724</v>
      </c>
      <c r="C19" t="s">
        <v>18</v>
      </c>
      <c r="D19" t="s">
        <v>87</v>
      </c>
      <c r="E19" t="s">
        <v>88</v>
      </c>
      <c r="F19" t="s">
        <v>21</v>
      </c>
      <c r="G19" t="s">
        <v>91</v>
      </c>
      <c r="H19" t="s">
        <v>105</v>
      </c>
      <c r="I19">
        <v>129</v>
      </c>
      <c r="J19">
        <v>1.53</v>
      </c>
      <c r="K19" s="4">
        <v>197.37</v>
      </c>
      <c r="L19" t="s">
        <v>25</v>
      </c>
      <c r="M19" s="4">
        <v>0.87</v>
      </c>
      <c r="N19" s="4">
        <v>112.23</v>
      </c>
      <c r="O19">
        <v>85.14</v>
      </c>
      <c r="P19" s="5">
        <v>0.43137254901960781</v>
      </c>
    </row>
    <row r="20" spans="1:16" x14ac:dyDescent="0.25">
      <c r="A20" t="s">
        <v>108</v>
      </c>
      <c r="B20" s="3">
        <v>45694</v>
      </c>
      <c r="C20" t="s">
        <v>28</v>
      </c>
      <c r="D20" t="s">
        <v>46</v>
      </c>
      <c r="E20" t="s">
        <v>47</v>
      </c>
      <c r="F20" t="s">
        <v>71</v>
      </c>
      <c r="G20" t="s">
        <v>72</v>
      </c>
      <c r="H20" t="s">
        <v>66</v>
      </c>
      <c r="I20">
        <v>61</v>
      </c>
      <c r="J20">
        <v>1.24</v>
      </c>
      <c r="K20" s="4">
        <v>75.64</v>
      </c>
      <c r="L20" t="s">
        <v>60</v>
      </c>
      <c r="M20" s="4">
        <v>0.83</v>
      </c>
      <c r="N20" s="4">
        <v>50.629999999999995</v>
      </c>
      <c r="O20">
        <v>25.01</v>
      </c>
      <c r="P20" s="5">
        <v>0.33064516129032262</v>
      </c>
    </row>
    <row r="21" spans="1:16" x14ac:dyDescent="0.25">
      <c r="A21" t="s">
        <v>111</v>
      </c>
      <c r="B21" s="3">
        <v>45672</v>
      </c>
      <c r="C21" t="s">
        <v>38</v>
      </c>
      <c r="D21" t="s">
        <v>53</v>
      </c>
      <c r="E21" t="s">
        <v>54</v>
      </c>
      <c r="F21" t="s">
        <v>71</v>
      </c>
      <c r="G21" t="s">
        <v>72</v>
      </c>
      <c r="H21" t="s">
        <v>80</v>
      </c>
      <c r="I21">
        <v>164</v>
      </c>
      <c r="J21">
        <v>0.92</v>
      </c>
      <c r="K21" s="4">
        <v>150.88</v>
      </c>
      <c r="L21" t="s">
        <v>35</v>
      </c>
      <c r="M21" s="4">
        <v>0.62</v>
      </c>
      <c r="N21" s="4">
        <v>101.67999999999999</v>
      </c>
      <c r="O21">
        <v>49.2</v>
      </c>
      <c r="P21" s="5">
        <v>0.32608695652173914</v>
      </c>
    </row>
    <row r="22" spans="1:16" x14ac:dyDescent="0.25">
      <c r="A22" t="s">
        <v>114</v>
      </c>
      <c r="B22" s="3">
        <v>45669</v>
      </c>
      <c r="C22" t="s">
        <v>38</v>
      </c>
      <c r="D22" t="s">
        <v>53</v>
      </c>
      <c r="E22" t="s">
        <v>54</v>
      </c>
      <c r="F22" t="s">
        <v>21</v>
      </c>
      <c r="G22" t="s">
        <v>91</v>
      </c>
      <c r="H22" t="s">
        <v>105</v>
      </c>
      <c r="I22">
        <v>108</v>
      </c>
      <c r="J22">
        <v>1.47</v>
      </c>
      <c r="K22" s="4">
        <v>158.76</v>
      </c>
      <c r="L22" t="s">
        <v>35</v>
      </c>
      <c r="M22" s="4">
        <v>1</v>
      </c>
      <c r="N22" s="4">
        <v>108</v>
      </c>
      <c r="O22">
        <v>50.76</v>
      </c>
      <c r="P22" s="5">
        <v>0.31972789115646261</v>
      </c>
    </row>
    <row r="23" spans="1:16" x14ac:dyDescent="0.25">
      <c r="A23" t="s">
        <v>116</v>
      </c>
      <c r="B23" s="3">
        <v>45680</v>
      </c>
      <c r="C23" t="s">
        <v>28</v>
      </c>
      <c r="D23" t="s">
        <v>46</v>
      </c>
      <c r="E23" t="s">
        <v>70</v>
      </c>
      <c r="F23" t="s">
        <v>21</v>
      </c>
      <c r="G23" t="s">
        <v>58</v>
      </c>
      <c r="H23" t="s">
        <v>49</v>
      </c>
      <c r="I23">
        <v>242</v>
      </c>
      <c r="J23">
        <v>1.21</v>
      </c>
      <c r="K23" s="4">
        <v>292.82</v>
      </c>
      <c r="L23" t="s">
        <v>25</v>
      </c>
      <c r="M23" s="4">
        <v>0.54</v>
      </c>
      <c r="N23" s="4">
        <v>130.68</v>
      </c>
      <c r="O23">
        <v>162.13999999999999</v>
      </c>
      <c r="P23" s="5">
        <v>0.55371900826446274</v>
      </c>
    </row>
    <row r="24" spans="1:16" x14ac:dyDescent="0.25">
      <c r="A24" t="s">
        <v>119</v>
      </c>
      <c r="B24" s="3">
        <v>45677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H24" t="s">
        <v>49</v>
      </c>
      <c r="I24">
        <v>58</v>
      </c>
      <c r="J24">
        <v>1.32</v>
      </c>
      <c r="K24" s="4">
        <v>76.56</v>
      </c>
      <c r="L24" t="s">
        <v>60</v>
      </c>
      <c r="M24" s="4">
        <v>0.84</v>
      </c>
      <c r="N24" s="4">
        <v>48.72</v>
      </c>
      <c r="O24">
        <v>27.84</v>
      </c>
      <c r="P24" s="5">
        <v>0.36363636363636365</v>
      </c>
    </row>
    <row r="25" spans="1:16" x14ac:dyDescent="0.25">
      <c r="A25" t="s">
        <v>122</v>
      </c>
      <c r="B25" s="3">
        <v>45673</v>
      </c>
      <c r="C25" t="s">
        <v>38</v>
      </c>
      <c r="D25" t="s">
        <v>39</v>
      </c>
      <c r="E25" t="s">
        <v>40</v>
      </c>
      <c r="F25" t="s">
        <v>31</v>
      </c>
      <c r="G25" t="s">
        <v>32</v>
      </c>
      <c r="H25" t="s">
        <v>66</v>
      </c>
      <c r="I25">
        <v>81</v>
      </c>
      <c r="J25">
        <v>1.46</v>
      </c>
      <c r="K25" s="4">
        <v>118.25999999999999</v>
      </c>
      <c r="L25" t="s">
        <v>25</v>
      </c>
      <c r="M25" s="4">
        <v>0.9</v>
      </c>
      <c r="N25" s="4">
        <v>72.900000000000006</v>
      </c>
      <c r="O25">
        <v>45.36</v>
      </c>
      <c r="P25" s="5">
        <v>0.38356164383561647</v>
      </c>
    </row>
    <row r="26" spans="1:16" x14ac:dyDescent="0.25">
      <c r="A26" t="s">
        <v>125</v>
      </c>
      <c r="B26" s="3">
        <v>45670</v>
      </c>
      <c r="C26" t="s">
        <v>38</v>
      </c>
      <c r="D26" t="s">
        <v>53</v>
      </c>
      <c r="E26" t="s">
        <v>54</v>
      </c>
      <c r="F26" t="s">
        <v>21</v>
      </c>
      <c r="G26" t="s">
        <v>22</v>
      </c>
      <c r="H26" t="s">
        <v>105</v>
      </c>
      <c r="I26">
        <v>151</v>
      </c>
      <c r="J26">
        <v>1.18</v>
      </c>
      <c r="K26" s="4">
        <v>178.17999999999998</v>
      </c>
      <c r="L26" t="s">
        <v>35</v>
      </c>
      <c r="M26" s="4">
        <v>0.78</v>
      </c>
      <c r="N26" s="4">
        <v>117.78</v>
      </c>
      <c r="O26">
        <v>60.4</v>
      </c>
      <c r="P26" s="5">
        <v>0.33898305084745767</v>
      </c>
    </row>
    <row r="27" spans="1:16" x14ac:dyDescent="0.25">
      <c r="A27" t="s">
        <v>128</v>
      </c>
      <c r="B27" s="3">
        <v>45661</v>
      </c>
      <c r="C27" t="s">
        <v>28</v>
      </c>
      <c r="D27" t="s">
        <v>46</v>
      </c>
      <c r="E27" t="s">
        <v>70</v>
      </c>
      <c r="F27" t="s">
        <v>21</v>
      </c>
      <c r="G27" t="s">
        <v>58</v>
      </c>
      <c r="H27" t="s">
        <v>49</v>
      </c>
      <c r="I27">
        <v>111</v>
      </c>
      <c r="J27">
        <v>1.46</v>
      </c>
      <c r="K27" s="4">
        <v>162.06</v>
      </c>
      <c r="L27" t="s">
        <v>60</v>
      </c>
      <c r="M27" s="4">
        <v>0.71</v>
      </c>
      <c r="N27" s="4">
        <v>78.81</v>
      </c>
      <c r="O27">
        <v>83.25</v>
      </c>
      <c r="P27" s="5">
        <v>0.51369863013698625</v>
      </c>
    </row>
    <row r="28" spans="1:16" x14ac:dyDescent="0.25">
      <c r="A28" t="s">
        <v>131</v>
      </c>
      <c r="B28" s="3">
        <v>45736</v>
      </c>
      <c r="C28" t="s">
        <v>18</v>
      </c>
      <c r="D28" t="s">
        <v>19</v>
      </c>
      <c r="E28" t="s">
        <v>20</v>
      </c>
      <c r="F28" t="s">
        <v>71</v>
      </c>
      <c r="G28" t="s">
        <v>95</v>
      </c>
      <c r="H28" t="s">
        <v>66</v>
      </c>
      <c r="I28">
        <v>107</v>
      </c>
      <c r="J28">
        <v>1.36</v>
      </c>
      <c r="K28" s="4">
        <v>145.52000000000001</v>
      </c>
      <c r="L28" t="s">
        <v>35</v>
      </c>
      <c r="M28" s="4">
        <v>0.67</v>
      </c>
      <c r="N28" s="4">
        <v>71.69</v>
      </c>
      <c r="O28">
        <v>73.83</v>
      </c>
      <c r="P28" s="5">
        <v>0.50735294117647056</v>
      </c>
    </row>
    <row r="29" spans="1:16" x14ac:dyDescent="0.25">
      <c r="A29" t="s">
        <v>134</v>
      </c>
      <c r="B29" s="3">
        <v>45721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H29" t="s">
        <v>23</v>
      </c>
      <c r="I29">
        <v>53</v>
      </c>
      <c r="J29">
        <v>1.24</v>
      </c>
      <c r="K29" s="4">
        <v>65.72</v>
      </c>
      <c r="L29" t="s">
        <v>60</v>
      </c>
      <c r="M29" s="4">
        <v>0.63</v>
      </c>
      <c r="N29" s="4">
        <v>33.39</v>
      </c>
      <c r="O29">
        <v>32.33</v>
      </c>
      <c r="P29" s="5">
        <v>0.49193548387096775</v>
      </c>
    </row>
    <row r="30" spans="1:16" x14ac:dyDescent="0.25">
      <c r="A30" t="s">
        <v>137</v>
      </c>
      <c r="B30" s="3">
        <v>45690</v>
      </c>
      <c r="C30" t="s">
        <v>18</v>
      </c>
      <c r="D30" t="s">
        <v>87</v>
      </c>
      <c r="E30" t="s">
        <v>88</v>
      </c>
      <c r="F30" t="s">
        <v>21</v>
      </c>
      <c r="G30" t="s">
        <v>91</v>
      </c>
      <c r="H30" t="s">
        <v>23</v>
      </c>
      <c r="I30">
        <v>192</v>
      </c>
      <c r="J30">
        <v>0.98</v>
      </c>
      <c r="K30" s="4">
        <v>188.16</v>
      </c>
      <c r="L30" t="s">
        <v>60</v>
      </c>
      <c r="M30" s="4">
        <v>0.41</v>
      </c>
      <c r="N30" s="4">
        <v>78.72</v>
      </c>
      <c r="O30">
        <v>109.44</v>
      </c>
      <c r="P30" s="5">
        <v>0.58163265306122447</v>
      </c>
    </row>
    <row r="31" spans="1:16" x14ac:dyDescent="0.25">
      <c r="A31" t="s">
        <v>140</v>
      </c>
      <c r="B31" s="3">
        <v>45715</v>
      </c>
      <c r="C31" t="s">
        <v>38</v>
      </c>
      <c r="D31" t="s">
        <v>39</v>
      </c>
      <c r="E31" t="s">
        <v>40</v>
      </c>
      <c r="F31" t="s">
        <v>31</v>
      </c>
      <c r="G31" t="s">
        <v>48</v>
      </c>
      <c r="H31" t="s">
        <v>33</v>
      </c>
      <c r="I31">
        <v>92</v>
      </c>
      <c r="J31">
        <v>1.53</v>
      </c>
      <c r="K31" s="4">
        <v>140.76</v>
      </c>
      <c r="L31" t="s">
        <v>35</v>
      </c>
      <c r="M31" s="4">
        <v>0.69</v>
      </c>
      <c r="N31" s="4">
        <v>63.48</v>
      </c>
      <c r="O31">
        <v>77.28</v>
      </c>
      <c r="P31" s="5">
        <v>0.5490196078431373</v>
      </c>
    </row>
    <row r="32" spans="1:16" x14ac:dyDescent="0.25">
      <c r="A32" t="s">
        <v>143</v>
      </c>
      <c r="B32" s="3">
        <v>45737</v>
      </c>
      <c r="C32" t="s">
        <v>38</v>
      </c>
      <c r="D32" t="s">
        <v>53</v>
      </c>
      <c r="E32" t="s">
        <v>54</v>
      </c>
      <c r="F32" t="s">
        <v>71</v>
      </c>
      <c r="G32" t="s">
        <v>95</v>
      </c>
      <c r="H32" t="s">
        <v>105</v>
      </c>
      <c r="I32">
        <v>141</v>
      </c>
      <c r="J32">
        <v>1.53</v>
      </c>
      <c r="K32" s="4">
        <v>215.73</v>
      </c>
      <c r="L32" t="s">
        <v>35</v>
      </c>
      <c r="M32" s="4">
        <v>0.93</v>
      </c>
      <c r="N32" s="4">
        <v>131.13</v>
      </c>
      <c r="O32">
        <v>84.6</v>
      </c>
      <c r="P32" s="5">
        <v>0.39215686274509803</v>
      </c>
    </row>
    <row r="33" spans="1:16" x14ac:dyDescent="0.25">
      <c r="A33" t="s">
        <v>146</v>
      </c>
      <c r="B33" s="3">
        <v>45688</v>
      </c>
      <c r="C33" t="s">
        <v>38</v>
      </c>
      <c r="D33" t="s">
        <v>39</v>
      </c>
      <c r="E33" t="s">
        <v>40</v>
      </c>
      <c r="F33" t="s">
        <v>31</v>
      </c>
      <c r="G33" t="s">
        <v>32</v>
      </c>
      <c r="H33" t="s">
        <v>66</v>
      </c>
      <c r="I33">
        <v>128</v>
      </c>
      <c r="J33">
        <v>1.5</v>
      </c>
      <c r="K33" s="4">
        <v>192</v>
      </c>
      <c r="L33" t="s">
        <v>35</v>
      </c>
      <c r="M33" s="4">
        <v>0.77</v>
      </c>
      <c r="N33" s="4">
        <v>98.56</v>
      </c>
      <c r="O33">
        <v>93.44</v>
      </c>
      <c r="P33" s="5">
        <v>0.48666666666666664</v>
      </c>
    </row>
    <row r="34" spans="1:16" x14ac:dyDescent="0.25">
      <c r="A34" t="s">
        <v>148</v>
      </c>
      <c r="B34" s="3">
        <v>45740</v>
      </c>
      <c r="C34" t="s">
        <v>18</v>
      </c>
      <c r="D34" t="s">
        <v>19</v>
      </c>
      <c r="E34" t="s">
        <v>20</v>
      </c>
      <c r="F34" t="s">
        <v>21</v>
      </c>
      <c r="G34" t="s">
        <v>91</v>
      </c>
      <c r="H34" t="s">
        <v>33</v>
      </c>
      <c r="I34">
        <v>229</v>
      </c>
      <c r="J34">
        <v>0.86</v>
      </c>
      <c r="K34" s="4">
        <v>196.94</v>
      </c>
      <c r="L34" t="s">
        <v>60</v>
      </c>
      <c r="M34" s="4">
        <v>0.41</v>
      </c>
      <c r="N34" s="4">
        <v>93.89</v>
      </c>
      <c r="O34">
        <v>103.05</v>
      </c>
      <c r="P34" s="5">
        <v>0.52325581395348841</v>
      </c>
    </row>
    <row r="35" spans="1:16" x14ac:dyDescent="0.25">
      <c r="A35" t="s">
        <v>151</v>
      </c>
      <c r="B35" s="3">
        <v>45677</v>
      </c>
      <c r="C35" t="s">
        <v>28</v>
      </c>
      <c r="D35" t="s">
        <v>46</v>
      </c>
      <c r="E35" t="s">
        <v>70</v>
      </c>
      <c r="F35" t="s">
        <v>21</v>
      </c>
      <c r="G35" t="s">
        <v>22</v>
      </c>
      <c r="H35" t="s">
        <v>73</v>
      </c>
      <c r="I35">
        <v>221</v>
      </c>
      <c r="J35">
        <v>1.52</v>
      </c>
      <c r="K35" s="4">
        <v>335.92</v>
      </c>
      <c r="L35" t="s">
        <v>35</v>
      </c>
      <c r="M35" s="4">
        <v>0.77</v>
      </c>
      <c r="N35" s="4">
        <v>170.17000000000002</v>
      </c>
      <c r="O35">
        <v>165.75</v>
      </c>
      <c r="P35" s="5">
        <v>0.49342105263157893</v>
      </c>
    </row>
    <row r="36" spans="1:16" x14ac:dyDescent="0.25">
      <c r="A36" t="s">
        <v>153</v>
      </c>
      <c r="B36" s="3">
        <v>45680</v>
      </c>
      <c r="C36" t="s">
        <v>18</v>
      </c>
      <c r="D36" t="s">
        <v>87</v>
      </c>
      <c r="E36" t="s">
        <v>88</v>
      </c>
      <c r="F36" t="s">
        <v>21</v>
      </c>
      <c r="G36" t="s">
        <v>22</v>
      </c>
      <c r="H36" t="s">
        <v>80</v>
      </c>
      <c r="I36">
        <v>176</v>
      </c>
      <c r="J36">
        <v>1.21</v>
      </c>
      <c r="K36" s="4">
        <v>212.95999999999998</v>
      </c>
      <c r="L36" t="s">
        <v>60</v>
      </c>
      <c r="M36" s="4">
        <v>0.68</v>
      </c>
      <c r="N36" s="4">
        <v>119.68</v>
      </c>
      <c r="O36">
        <v>93.28</v>
      </c>
      <c r="P36" s="5">
        <v>0.43801652892561987</v>
      </c>
    </row>
    <row r="37" spans="1:16" x14ac:dyDescent="0.25">
      <c r="A37" t="s">
        <v>155</v>
      </c>
      <c r="B37" s="3">
        <v>45681</v>
      </c>
      <c r="C37" t="s">
        <v>28</v>
      </c>
      <c r="D37" t="s">
        <v>46</v>
      </c>
      <c r="E37" t="s">
        <v>70</v>
      </c>
      <c r="F37" t="s">
        <v>21</v>
      </c>
      <c r="G37" t="s">
        <v>58</v>
      </c>
      <c r="H37" t="s">
        <v>80</v>
      </c>
      <c r="I37">
        <v>89</v>
      </c>
      <c r="J37">
        <v>1.17</v>
      </c>
      <c r="K37" s="4">
        <v>104.13</v>
      </c>
      <c r="L37" t="s">
        <v>35</v>
      </c>
      <c r="M37" s="4">
        <v>0.72</v>
      </c>
      <c r="N37" s="4">
        <v>64.08</v>
      </c>
      <c r="O37">
        <v>40.049999999999997</v>
      </c>
      <c r="P37" s="5">
        <v>0.38461538461538458</v>
      </c>
    </row>
    <row r="38" spans="1:16" x14ac:dyDescent="0.25">
      <c r="A38" t="s">
        <v>159</v>
      </c>
      <c r="B38" s="3">
        <v>45720</v>
      </c>
      <c r="C38" t="s">
        <v>28</v>
      </c>
      <c r="D38" t="s">
        <v>29</v>
      </c>
      <c r="E38" t="s">
        <v>30</v>
      </c>
      <c r="F38" t="s">
        <v>31</v>
      </c>
      <c r="G38" t="s">
        <v>48</v>
      </c>
      <c r="H38" t="s">
        <v>33</v>
      </c>
      <c r="I38">
        <v>222</v>
      </c>
      <c r="J38">
        <v>0.95</v>
      </c>
      <c r="K38" s="4">
        <v>210.89999999999998</v>
      </c>
      <c r="L38" t="s">
        <v>35</v>
      </c>
      <c r="M38" s="4">
        <v>0.56999999999999995</v>
      </c>
      <c r="N38" s="4">
        <v>126.53999999999999</v>
      </c>
      <c r="O38">
        <v>84.36</v>
      </c>
      <c r="P38" s="5">
        <v>0.4</v>
      </c>
    </row>
    <row r="39" spans="1:16" x14ac:dyDescent="0.25">
      <c r="A39" t="s">
        <v>161</v>
      </c>
      <c r="B39" s="3">
        <v>45706</v>
      </c>
      <c r="C39" t="s">
        <v>28</v>
      </c>
      <c r="D39" t="s">
        <v>46</v>
      </c>
      <c r="E39" t="s">
        <v>70</v>
      </c>
      <c r="F39" t="s">
        <v>31</v>
      </c>
      <c r="G39" t="s">
        <v>32</v>
      </c>
      <c r="H39" t="s">
        <v>23</v>
      </c>
      <c r="I39">
        <v>177</v>
      </c>
      <c r="J39">
        <v>1.28</v>
      </c>
      <c r="K39" s="4">
        <v>226.56</v>
      </c>
      <c r="L39" t="s">
        <v>60</v>
      </c>
      <c r="M39" s="4">
        <v>0.66</v>
      </c>
      <c r="N39" s="4">
        <v>116.82000000000001</v>
      </c>
      <c r="O39">
        <v>109.74</v>
      </c>
      <c r="P39" s="5">
        <v>0.484375</v>
      </c>
    </row>
    <row r="40" spans="1:16" x14ac:dyDescent="0.25">
      <c r="A40" t="s">
        <v>164</v>
      </c>
      <c r="B40" s="3">
        <v>45730</v>
      </c>
      <c r="C40" t="s">
        <v>18</v>
      </c>
      <c r="D40" t="s">
        <v>19</v>
      </c>
      <c r="E40" t="s">
        <v>20</v>
      </c>
      <c r="F40" t="s">
        <v>31</v>
      </c>
      <c r="G40" t="s">
        <v>48</v>
      </c>
      <c r="H40" t="s">
        <v>105</v>
      </c>
      <c r="I40">
        <v>182</v>
      </c>
      <c r="J40">
        <v>1.07</v>
      </c>
      <c r="K40" s="4">
        <v>194.74</v>
      </c>
      <c r="L40" t="s">
        <v>25</v>
      </c>
      <c r="M40" s="4">
        <v>0.74</v>
      </c>
      <c r="N40" s="4">
        <v>134.68</v>
      </c>
      <c r="O40">
        <v>60.06</v>
      </c>
      <c r="P40" s="5">
        <v>0.30841121495327101</v>
      </c>
    </row>
    <row r="41" spans="1:16" x14ac:dyDescent="0.25">
      <c r="A41" t="s">
        <v>167</v>
      </c>
      <c r="B41" s="3">
        <v>45665</v>
      </c>
      <c r="C41" t="s">
        <v>28</v>
      </c>
      <c r="D41" t="s">
        <v>46</v>
      </c>
      <c r="E41" t="s">
        <v>47</v>
      </c>
      <c r="F41" t="s">
        <v>71</v>
      </c>
      <c r="G41" t="s">
        <v>72</v>
      </c>
      <c r="H41" t="s">
        <v>49</v>
      </c>
      <c r="I41">
        <v>99</v>
      </c>
      <c r="J41">
        <v>1</v>
      </c>
      <c r="K41" s="4">
        <v>99</v>
      </c>
      <c r="L41" t="s">
        <v>25</v>
      </c>
      <c r="M41" s="4">
        <v>0.68</v>
      </c>
      <c r="N41" s="4">
        <v>67.320000000000007</v>
      </c>
      <c r="O41">
        <v>31.68</v>
      </c>
      <c r="P41" s="5">
        <v>0.32</v>
      </c>
    </row>
    <row r="42" spans="1:16" x14ac:dyDescent="0.25">
      <c r="A42" t="s">
        <v>169</v>
      </c>
      <c r="B42" s="3">
        <v>45734</v>
      </c>
      <c r="C42" t="s">
        <v>18</v>
      </c>
      <c r="D42" t="s">
        <v>87</v>
      </c>
      <c r="E42" t="s">
        <v>88</v>
      </c>
      <c r="F42" t="s">
        <v>31</v>
      </c>
      <c r="G42" t="s">
        <v>48</v>
      </c>
      <c r="H42" t="s">
        <v>33</v>
      </c>
      <c r="I42">
        <v>97</v>
      </c>
      <c r="J42">
        <v>1.37</v>
      </c>
      <c r="K42" s="4">
        <v>132.89000000000001</v>
      </c>
      <c r="L42" t="s">
        <v>25</v>
      </c>
      <c r="M42" s="4">
        <v>0.9</v>
      </c>
      <c r="N42" s="4">
        <v>87.3</v>
      </c>
      <c r="O42">
        <v>45.59</v>
      </c>
      <c r="P42" s="5">
        <v>0.3430656934306569</v>
      </c>
    </row>
    <row r="43" spans="1:16" x14ac:dyDescent="0.25">
      <c r="A43" t="s">
        <v>172</v>
      </c>
      <c r="B43" s="3">
        <v>45701</v>
      </c>
      <c r="C43" t="s">
        <v>38</v>
      </c>
      <c r="D43" t="s">
        <v>39</v>
      </c>
      <c r="E43" t="s">
        <v>40</v>
      </c>
      <c r="F43" t="s">
        <v>31</v>
      </c>
      <c r="G43" t="s">
        <v>32</v>
      </c>
      <c r="H43" t="s">
        <v>80</v>
      </c>
      <c r="I43">
        <v>123</v>
      </c>
      <c r="J43">
        <v>1.43</v>
      </c>
      <c r="K43" s="4">
        <v>175.89</v>
      </c>
      <c r="L43" t="s">
        <v>35</v>
      </c>
      <c r="M43" s="4">
        <v>0.76</v>
      </c>
      <c r="N43" s="4">
        <v>93.48</v>
      </c>
      <c r="O43">
        <v>82.41</v>
      </c>
      <c r="P43" s="5">
        <v>0.46853146853146854</v>
      </c>
    </row>
    <row r="44" spans="1:16" x14ac:dyDescent="0.25">
      <c r="A44" t="s">
        <v>175</v>
      </c>
      <c r="B44" s="3">
        <v>45715</v>
      </c>
      <c r="C44" t="s">
        <v>38</v>
      </c>
      <c r="D44" t="s">
        <v>39</v>
      </c>
      <c r="E44" t="s">
        <v>40</v>
      </c>
      <c r="F44" t="s">
        <v>31</v>
      </c>
      <c r="G44" t="s">
        <v>48</v>
      </c>
      <c r="H44" t="s">
        <v>80</v>
      </c>
      <c r="I44">
        <v>108</v>
      </c>
      <c r="J44">
        <v>1.59</v>
      </c>
      <c r="K44" s="4">
        <v>171.72</v>
      </c>
      <c r="L44" t="s">
        <v>35</v>
      </c>
      <c r="M44" s="4">
        <v>0.73</v>
      </c>
      <c r="N44" s="4">
        <v>78.84</v>
      </c>
      <c r="O44">
        <v>92.88</v>
      </c>
      <c r="P44" s="5">
        <v>0.54088050314465408</v>
      </c>
    </row>
    <row r="45" spans="1:16" x14ac:dyDescent="0.25">
      <c r="A45" t="s">
        <v>178</v>
      </c>
      <c r="B45" s="3">
        <v>45686</v>
      </c>
      <c r="C45" t="s">
        <v>38</v>
      </c>
      <c r="D45" t="s">
        <v>39</v>
      </c>
      <c r="E45" t="s">
        <v>40</v>
      </c>
      <c r="F45" t="s">
        <v>21</v>
      </c>
      <c r="G45" t="s">
        <v>22</v>
      </c>
      <c r="H45" t="s">
        <v>42</v>
      </c>
      <c r="I45">
        <v>175</v>
      </c>
      <c r="J45">
        <v>1.37</v>
      </c>
      <c r="K45" s="4">
        <v>239.75000000000003</v>
      </c>
      <c r="L45" t="s">
        <v>60</v>
      </c>
      <c r="M45" s="4">
        <v>0.75</v>
      </c>
      <c r="N45" s="4">
        <v>131.25</v>
      </c>
      <c r="O45">
        <v>108.5</v>
      </c>
      <c r="P45" s="5">
        <v>0.45255474452554739</v>
      </c>
    </row>
    <row r="46" spans="1:16" x14ac:dyDescent="0.25">
      <c r="A46" t="s">
        <v>179</v>
      </c>
      <c r="B46" s="3">
        <v>45737</v>
      </c>
      <c r="C46" t="s">
        <v>18</v>
      </c>
      <c r="D46" t="s">
        <v>87</v>
      </c>
      <c r="E46" t="s">
        <v>88</v>
      </c>
      <c r="F46" t="s">
        <v>31</v>
      </c>
      <c r="G46" t="s">
        <v>48</v>
      </c>
      <c r="H46" t="s">
        <v>66</v>
      </c>
      <c r="I46">
        <v>227</v>
      </c>
      <c r="J46">
        <v>1.19</v>
      </c>
      <c r="K46" s="4">
        <v>270.13</v>
      </c>
      <c r="L46" t="s">
        <v>25</v>
      </c>
      <c r="M46" s="4">
        <v>0.78</v>
      </c>
      <c r="N46" s="4">
        <v>177.06</v>
      </c>
      <c r="O46">
        <v>93.07</v>
      </c>
      <c r="P46" s="5">
        <v>0.34453781512605042</v>
      </c>
    </row>
    <row r="47" spans="1:16" x14ac:dyDescent="0.25">
      <c r="A47" t="s">
        <v>181</v>
      </c>
      <c r="B47" s="3">
        <v>45664</v>
      </c>
      <c r="C47" t="s">
        <v>18</v>
      </c>
      <c r="D47" t="s">
        <v>87</v>
      </c>
      <c r="E47" t="s">
        <v>88</v>
      </c>
      <c r="F47" t="s">
        <v>31</v>
      </c>
      <c r="G47" t="s">
        <v>48</v>
      </c>
      <c r="H47" t="s">
        <v>66</v>
      </c>
      <c r="I47">
        <v>72</v>
      </c>
      <c r="J47">
        <v>0.8</v>
      </c>
      <c r="K47" s="4">
        <v>57.6</v>
      </c>
      <c r="L47" t="s">
        <v>25</v>
      </c>
      <c r="M47" s="4">
        <v>0.41</v>
      </c>
      <c r="N47" s="4">
        <v>29.52</v>
      </c>
      <c r="O47">
        <v>28.08</v>
      </c>
      <c r="P47" s="5">
        <v>0.48749999999999993</v>
      </c>
    </row>
    <row r="48" spans="1:16" x14ac:dyDescent="0.25">
      <c r="A48" t="s">
        <v>183</v>
      </c>
      <c r="B48" s="3">
        <v>45700</v>
      </c>
      <c r="C48" t="s">
        <v>18</v>
      </c>
      <c r="D48" t="s">
        <v>87</v>
      </c>
      <c r="E48" t="s">
        <v>88</v>
      </c>
      <c r="F48" t="s">
        <v>71</v>
      </c>
      <c r="G48" t="s">
        <v>95</v>
      </c>
      <c r="H48" t="s">
        <v>66</v>
      </c>
      <c r="I48">
        <v>154</v>
      </c>
      <c r="J48">
        <v>0.88</v>
      </c>
      <c r="K48" s="4">
        <v>135.52000000000001</v>
      </c>
      <c r="L48" t="s">
        <v>35</v>
      </c>
      <c r="M48" s="4">
        <v>0.4</v>
      </c>
      <c r="N48" s="4">
        <v>61.6</v>
      </c>
      <c r="O48">
        <v>73.92</v>
      </c>
      <c r="P48" s="5">
        <v>0.54545454545454541</v>
      </c>
    </row>
    <row r="49" spans="1:16" x14ac:dyDescent="0.25">
      <c r="A49" t="s">
        <v>186</v>
      </c>
      <c r="B49" s="3">
        <v>45746</v>
      </c>
      <c r="C49" t="s">
        <v>38</v>
      </c>
      <c r="D49" t="s">
        <v>53</v>
      </c>
      <c r="E49" t="s">
        <v>54</v>
      </c>
      <c r="F49" t="s">
        <v>21</v>
      </c>
      <c r="G49" t="s">
        <v>58</v>
      </c>
      <c r="H49" t="s">
        <v>49</v>
      </c>
      <c r="I49">
        <v>176</v>
      </c>
      <c r="J49">
        <v>1</v>
      </c>
      <c r="K49" s="4">
        <v>176</v>
      </c>
      <c r="L49" t="s">
        <v>60</v>
      </c>
      <c r="M49" s="4">
        <v>0.6</v>
      </c>
      <c r="N49" s="4">
        <v>105.6</v>
      </c>
      <c r="O49">
        <v>70.400000000000006</v>
      </c>
      <c r="P49" s="5">
        <v>0.4</v>
      </c>
    </row>
    <row r="50" spans="1:16" x14ac:dyDescent="0.25">
      <c r="A50" t="s">
        <v>188</v>
      </c>
      <c r="B50" s="3">
        <v>45731</v>
      </c>
      <c r="C50" t="s">
        <v>38</v>
      </c>
      <c r="D50" t="s">
        <v>39</v>
      </c>
      <c r="E50" t="s">
        <v>40</v>
      </c>
      <c r="F50" t="s">
        <v>71</v>
      </c>
      <c r="G50" t="s">
        <v>72</v>
      </c>
      <c r="H50" t="s">
        <v>33</v>
      </c>
      <c r="I50">
        <v>191</v>
      </c>
      <c r="J50">
        <v>1.19</v>
      </c>
      <c r="K50" s="4">
        <v>227.29</v>
      </c>
      <c r="L50" t="s">
        <v>35</v>
      </c>
      <c r="M50" s="4">
        <v>0.77</v>
      </c>
      <c r="N50" s="4">
        <v>147.07</v>
      </c>
      <c r="O50">
        <v>80.22</v>
      </c>
      <c r="P50" s="5">
        <v>0.35294117647058826</v>
      </c>
    </row>
    <row r="51" spans="1:16" x14ac:dyDescent="0.25">
      <c r="A51" t="s">
        <v>191</v>
      </c>
      <c r="B51" s="3">
        <v>45725</v>
      </c>
      <c r="C51" t="s">
        <v>18</v>
      </c>
      <c r="D51" t="s">
        <v>87</v>
      </c>
      <c r="E51" t="s">
        <v>88</v>
      </c>
      <c r="F51" t="s">
        <v>31</v>
      </c>
      <c r="G51" t="s">
        <v>41</v>
      </c>
      <c r="H51" t="s">
        <v>49</v>
      </c>
      <c r="I51">
        <v>169</v>
      </c>
      <c r="J51">
        <v>1.28</v>
      </c>
      <c r="K51" s="4">
        <v>216.32</v>
      </c>
      <c r="L51" t="s">
        <v>60</v>
      </c>
      <c r="M51" s="4">
        <v>0.69</v>
      </c>
      <c r="N51" s="4">
        <v>116.60999999999999</v>
      </c>
      <c r="O51">
        <v>99.71</v>
      </c>
      <c r="P51" s="5">
        <v>0.4609375</v>
      </c>
    </row>
    <row r="52" spans="1:16" x14ac:dyDescent="0.25">
      <c r="A52" t="s">
        <v>193</v>
      </c>
      <c r="B52" s="3">
        <v>45705</v>
      </c>
      <c r="C52" t="s">
        <v>18</v>
      </c>
      <c r="D52" t="s">
        <v>19</v>
      </c>
      <c r="E52" t="s">
        <v>20</v>
      </c>
      <c r="F52" t="s">
        <v>21</v>
      </c>
      <c r="G52" t="s">
        <v>91</v>
      </c>
      <c r="H52" t="s">
        <v>49</v>
      </c>
      <c r="I52">
        <v>50</v>
      </c>
      <c r="J52">
        <v>1.25</v>
      </c>
      <c r="K52" s="4">
        <v>62.5</v>
      </c>
      <c r="L52" t="s">
        <v>35</v>
      </c>
      <c r="M52" s="4">
        <v>0.73</v>
      </c>
      <c r="N52" s="4">
        <v>36.5</v>
      </c>
      <c r="O52">
        <v>26</v>
      </c>
      <c r="P52" s="5">
        <v>0.41599999999999998</v>
      </c>
    </row>
    <row r="53" spans="1:16" x14ac:dyDescent="0.25">
      <c r="A53" t="s">
        <v>196</v>
      </c>
      <c r="B53" s="3">
        <v>45704</v>
      </c>
      <c r="C53" t="s">
        <v>38</v>
      </c>
      <c r="D53" t="s">
        <v>39</v>
      </c>
      <c r="E53" t="s">
        <v>40</v>
      </c>
      <c r="F53" t="s">
        <v>31</v>
      </c>
      <c r="G53" t="s">
        <v>48</v>
      </c>
      <c r="H53" t="s">
        <v>105</v>
      </c>
      <c r="I53">
        <v>109</v>
      </c>
      <c r="J53">
        <v>1.47</v>
      </c>
      <c r="K53" s="4">
        <v>160.22999999999999</v>
      </c>
      <c r="L53" t="s">
        <v>25</v>
      </c>
      <c r="M53" s="4">
        <v>0.88</v>
      </c>
      <c r="N53" s="4">
        <v>95.92</v>
      </c>
      <c r="O53">
        <v>64.31</v>
      </c>
      <c r="P53" s="5">
        <v>0.40136054421768713</v>
      </c>
    </row>
    <row r="54" spans="1:16" x14ac:dyDescent="0.25">
      <c r="A54" t="s">
        <v>199</v>
      </c>
      <c r="B54" s="3">
        <v>45708</v>
      </c>
      <c r="C54" t="s">
        <v>38</v>
      </c>
      <c r="D54" t="s">
        <v>39</v>
      </c>
      <c r="E54" t="s">
        <v>40</v>
      </c>
      <c r="F54" t="s">
        <v>21</v>
      </c>
      <c r="G54" t="s">
        <v>22</v>
      </c>
      <c r="H54" t="s">
        <v>80</v>
      </c>
      <c r="I54">
        <v>95</v>
      </c>
      <c r="J54">
        <v>1.49</v>
      </c>
      <c r="K54" s="4">
        <v>141.55000000000001</v>
      </c>
      <c r="L54" t="s">
        <v>25</v>
      </c>
      <c r="M54" s="4">
        <v>0.79</v>
      </c>
      <c r="N54" s="4">
        <v>75.05</v>
      </c>
      <c r="O54">
        <v>66.5</v>
      </c>
      <c r="P54" s="5">
        <v>0.46979865771812079</v>
      </c>
    </row>
    <row r="55" spans="1:16" x14ac:dyDescent="0.25">
      <c r="A55" t="s">
        <v>202</v>
      </c>
      <c r="B55" s="3">
        <v>45664</v>
      </c>
      <c r="C55" t="s">
        <v>38</v>
      </c>
      <c r="D55" t="s">
        <v>39</v>
      </c>
      <c r="E55" t="s">
        <v>40</v>
      </c>
      <c r="F55" t="s">
        <v>21</v>
      </c>
      <c r="G55" t="s">
        <v>22</v>
      </c>
      <c r="H55" t="s">
        <v>42</v>
      </c>
      <c r="I55">
        <v>243</v>
      </c>
      <c r="J55">
        <v>1.58</v>
      </c>
      <c r="K55" s="4">
        <v>383.94</v>
      </c>
      <c r="L55" t="s">
        <v>25</v>
      </c>
      <c r="M55" s="4">
        <v>0.83</v>
      </c>
      <c r="N55" s="4">
        <v>201.69</v>
      </c>
      <c r="O55">
        <v>182.25</v>
      </c>
      <c r="P55" s="5">
        <v>0.47468354430379744</v>
      </c>
    </row>
    <row r="56" spans="1:16" x14ac:dyDescent="0.25">
      <c r="A56" t="s">
        <v>204</v>
      </c>
      <c r="B56" s="3">
        <v>45695</v>
      </c>
      <c r="C56" t="s">
        <v>28</v>
      </c>
      <c r="D56" t="s">
        <v>29</v>
      </c>
      <c r="E56" t="s">
        <v>30</v>
      </c>
      <c r="F56" t="s">
        <v>31</v>
      </c>
      <c r="G56" t="s">
        <v>32</v>
      </c>
      <c r="H56" t="s">
        <v>73</v>
      </c>
      <c r="I56">
        <v>162</v>
      </c>
      <c r="J56">
        <v>1.53</v>
      </c>
      <c r="K56" s="4">
        <v>247.86</v>
      </c>
      <c r="L56" t="s">
        <v>35</v>
      </c>
      <c r="M56" s="4">
        <v>0.9</v>
      </c>
      <c r="N56" s="4">
        <v>145.80000000000001</v>
      </c>
      <c r="O56">
        <v>102.06</v>
      </c>
      <c r="P56" s="5">
        <v>0.41176470588235292</v>
      </c>
    </row>
    <row r="57" spans="1:16" x14ac:dyDescent="0.25">
      <c r="A57" t="s">
        <v>207</v>
      </c>
      <c r="B57" s="3">
        <v>45661</v>
      </c>
      <c r="C57" t="s">
        <v>18</v>
      </c>
      <c r="D57" t="s">
        <v>87</v>
      </c>
      <c r="E57" t="s">
        <v>88</v>
      </c>
      <c r="F57" t="s">
        <v>21</v>
      </c>
      <c r="G57" t="s">
        <v>22</v>
      </c>
      <c r="H57" t="s">
        <v>73</v>
      </c>
      <c r="I57">
        <v>221</v>
      </c>
      <c r="J57">
        <v>0.81</v>
      </c>
      <c r="K57" s="4">
        <v>179.01000000000002</v>
      </c>
      <c r="L57" t="s">
        <v>60</v>
      </c>
      <c r="M57" s="4">
        <v>0.34</v>
      </c>
      <c r="N57" s="4">
        <v>75.14</v>
      </c>
      <c r="O57">
        <v>103.87</v>
      </c>
      <c r="P57" s="5">
        <v>0.58024691358024683</v>
      </c>
    </row>
    <row r="58" spans="1:16" x14ac:dyDescent="0.25">
      <c r="A58" t="s">
        <v>209</v>
      </c>
      <c r="B58" s="3">
        <v>45690</v>
      </c>
      <c r="C58" t="s">
        <v>38</v>
      </c>
      <c r="D58" t="s">
        <v>53</v>
      </c>
      <c r="E58" t="s">
        <v>54</v>
      </c>
      <c r="F58" t="s">
        <v>21</v>
      </c>
      <c r="G58" t="s">
        <v>91</v>
      </c>
      <c r="H58" t="s">
        <v>66</v>
      </c>
      <c r="I58">
        <v>211</v>
      </c>
      <c r="J58">
        <v>1.24</v>
      </c>
      <c r="K58" s="4">
        <v>261.64</v>
      </c>
      <c r="L58" t="s">
        <v>35</v>
      </c>
      <c r="M58" s="4">
        <v>0.66</v>
      </c>
      <c r="N58" s="4">
        <v>139.26000000000002</v>
      </c>
      <c r="O58">
        <v>122.38</v>
      </c>
      <c r="P58" s="5">
        <v>0.467741935483871</v>
      </c>
    </row>
    <row r="59" spans="1:16" x14ac:dyDescent="0.25">
      <c r="A59" t="s">
        <v>211</v>
      </c>
      <c r="B59" s="3">
        <v>45718</v>
      </c>
      <c r="C59" t="s">
        <v>18</v>
      </c>
      <c r="D59" t="s">
        <v>19</v>
      </c>
      <c r="E59" t="s">
        <v>20</v>
      </c>
      <c r="F59" t="s">
        <v>21</v>
      </c>
      <c r="G59" t="s">
        <v>58</v>
      </c>
      <c r="H59" t="s">
        <v>73</v>
      </c>
      <c r="I59">
        <v>116</v>
      </c>
      <c r="J59">
        <v>1.06</v>
      </c>
      <c r="K59" s="4">
        <v>122.96000000000001</v>
      </c>
      <c r="L59" t="s">
        <v>25</v>
      </c>
      <c r="M59" s="4">
        <v>0.55000000000000004</v>
      </c>
      <c r="N59" s="4">
        <v>63.800000000000004</v>
      </c>
      <c r="O59">
        <v>59.16</v>
      </c>
      <c r="P59" s="5">
        <v>0.48113207547169806</v>
      </c>
    </row>
    <row r="60" spans="1:16" x14ac:dyDescent="0.25">
      <c r="A60" t="s">
        <v>214</v>
      </c>
      <c r="B60" s="3">
        <v>45746</v>
      </c>
      <c r="C60" t="s">
        <v>38</v>
      </c>
      <c r="D60" t="s">
        <v>53</v>
      </c>
      <c r="E60" t="s">
        <v>54</v>
      </c>
      <c r="F60" t="s">
        <v>71</v>
      </c>
      <c r="G60" t="s">
        <v>95</v>
      </c>
      <c r="H60" t="s">
        <v>80</v>
      </c>
      <c r="I60">
        <v>60</v>
      </c>
      <c r="J60">
        <v>1.22</v>
      </c>
      <c r="K60" s="4">
        <v>73.2</v>
      </c>
      <c r="L60" t="s">
        <v>25</v>
      </c>
      <c r="M60" s="4">
        <v>0.76</v>
      </c>
      <c r="N60" s="4">
        <v>45.6</v>
      </c>
      <c r="O60">
        <v>27.6</v>
      </c>
      <c r="P60" s="5">
        <v>0.37704918032786888</v>
      </c>
    </row>
    <row r="61" spans="1:16" x14ac:dyDescent="0.25">
      <c r="A61" t="s">
        <v>216</v>
      </c>
      <c r="B61" s="3">
        <v>45705</v>
      </c>
      <c r="C61" t="s">
        <v>38</v>
      </c>
      <c r="D61" t="s">
        <v>39</v>
      </c>
      <c r="E61" t="s">
        <v>40</v>
      </c>
      <c r="F61" t="s">
        <v>71</v>
      </c>
      <c r="G61" t="s">
        <v>72</v>
      </c>
      <c r="H61" t="s">
        <v>66</v>
      </c>
      <c r="I61">
        <v>58</v>
      </c>
      <c r="J61">
        <v>1.42</v>
      </c>
      <c r="K61" s="4">
        <v>82.36</v>
      </c>
      <c r="L61" t="s">
        <v>60</v>
      </c>
      <c r="M61" s="4">
        <v>0.61</v>
      </c>
      <c r="N61" s="4">
        <v>35.380000000000003</v>
      </c>
      <c r="O61">
        <v>46.98</v>
      </c>
      <c r="P61" s="5">
        <v>0.57042253521126762</v>
      </c>
    </row>
    <row r="62" spans="1:16" x14ac:dyDescent="0.25">
      <c r="A62" t="s">
        <v>219</v>
      </c>
      <c r="B62" s="3">
        <v>45710</v>
      </c>
      <c r="C62" t="s">
        <v>18</v>
      </c>
      <c r="D62" t="s">
        <v>87</v>
      </c>
      <c r="E62" t="s">
        <v>88</v>
      </c>
      <c r="F62" t="s">
        <v>31</v>
      </c>
      <c r="G62" t="s">
        <v>41</v>
      </c>
      <c r="H62" t="s">
        <v>42</v>
      </c>
      <c r="I62">
        <v>93</v>
      </c>
      <c r="J62">
        <v>1.1599999999999999</v>
      </c>
      <c r="K62" s="4">
        <v>107.88</v>
      </c>
      <c r="L62" t="s">
        <v>60</v>
      </c>
      <c r="M62" s="4">
        <v>0.64</v>
      </c>
      <c r="N62" s="4">
        <v>59.52</v>
      </c>
      <c r="O62">
        <v>48.36</v>
      </c>
      <c r="P62" s="5">
        <v>0.44827586206896552</v>
      </c>
    </row>
    <row r="63" spans="1:16" x14ac:dyDescent="0.25">
      <c r="A63" t="s">
        <v>222</v>
      </c>
      <c r="B63" s="3">
        <v>45737</v>
      </c>
      <c r="C63" t="s">
        <v>18</v>
      </c>
      <c r="D63" t="s">
        <v>19</v>
      </c>
      <c r="E63" t="s">
        <v>20</v>
      </c>
      <c r="F63" t="s">
        <v>21</v>
      </c>
      <c r="G63" t="s">
        <v>91</v>
      </c>
      <c r="H63" t="s">
        <v>105</v>
      </c>
      <c r="I63">
        <v>106</v>
      </c>
      <c r="J63">
        <v>1.02</v>
      </c>
      <c r="K63" s="4">
        <v>108.12</v>
      </c>
      <c r="L63" t="s">
        <v>60</v>
      </c>
      <c r="M63" s="4">
        <v>0.53</v>
      </c>
      <c r="N63" s="4">
        <v>56.18</v>
      </c>
      <c r="O63">
        <v>51.94</v>
      </c>
      <c r="P63" s="5">
        <v>0.48039215686274506</v>
      </c>
    </row>
    <row r="64" spans="1:16" x14ac:dyDescent="0.25">
      <c r="A64" t="s">
        <v>224</v>
      </c>
      <c r="B64" s="3">
        <v>45730</v>
      </c>
      <c r="C64" t="s">
        <v>18</v>
      </c>
      <c r="D64" t="s">
        <v>19</v>
      </c>
      <c r="E64" t="s">
        <v>20</v>
      </c>
      <c r="F64" t="s">
        <v>31</v>
      </c>
      <c r="G64" t="s">
        <v>32</v>
      </c>
      <c r="H64" t="s">
        <v>73</v>
      </c>
      <c r="I64">
        <v>190</v>
      </c>
      <c r="J64">
        <v>0.94</v>
      </c>
      <c r="K64" s="4">
        <v>178.6</v>
      </c>
      <c r="L64" t="s">
        <v>60</v>
      </c>
      <c r="M64" s="4">
        <v>0.56000000000000005</v>
      </c>
      <c r="N64" s="4">
        <v>106.4</v>
      </c>
      <c r="O64">
        <v>72.2</v>
      </c>
      <c r="P64" s="5">
        <v>0.4042553191489362</v>
      </c>
    </row>
    <row r="65" spans="1:16" x14ac:dyDescent="0.25">
      <c r="A65" t="s">
        <v>226</v>
      </c>
      <c r="B65" s="3">
        <v>45667</v>
      </c>
      <c r="C65" t="s">
        <v>38</v>
      </c>
      <c r="D65" t="s">
        <v>53</v>
      </c>
      <c r="E65" t="s">
        <v>54</v>
      </c>
      <c r="F65" t="s">
        <v>31</v>
      </c>
      <c r="G65" t="s">
        <v>41</v>
      </c>
      <c r="H65" t="s">
        <v>105</v>
      </c>
      <c r="I65">
        <v>159</v>
      </c>
      <c r="J65">
        <v>1.26</v>
      </c>
      <c r="K65" s="4">
        <v>200.34</v>
      </c>
      <c r="L65" t="s">
        <v>25</v>
      </c>
      <c r="M65" s="4">
        <v>0.83</v>
      </c>
      <c r="N65" s="4">
        <v>131.97</v>
      </c>
      <c r="O65">
        <v>68.37</v>
      </c>
      <c r="P65" s="5">
        <v>0.34126984126984128</v>
      </c>
    </row>
    <row r="66" spans="1:16" x14ac:dyDescent="0.25">
      <c r="A66" t="s">
        <v>229</v>
      </c>
      <c r="B66" s="3">
        <v>45696</v>
      </c>
      <c r="C66" t="s">
        <v>38</v>
      </c>
      <c r="D66" t="s">
        <v>39</v>
      </c>
      <c r="E66" t="s">
        <v>40</v>
      </c>
      <c r="F66" t="s">
        <v>31</v>
      </c>
      <c r="G66" t="s">
        <v>48</v>
      </c>
      <c r="H66" t="s">
        <v>105</v>
      </c>
      <c r="I66">
        <v>58</v>
      </c>
      <c r="J66">
        <v>0.93</v>
      </c>
      <c r="K66" s="4">
        <v>53.940000000000005</v>
      </c>
      <c r="L66" t="s">
        <v>25</v>
      </c>
      <c r="M66" s="4">
        <v>0.56000000000000005</v>
      </c>
      <c r="N66" s="4">
        <v>32.480000000000004</v>
      </c>
      <c r="O66">
        <v>21.46</v>
      </c>
      <c r="P66" s="5">
        <v>0.39784946236559138</v>
      </c>
    </row>
    <row r="67" spans="1:16" x14ac:dyDescent="0.25">
      <c r="A67" t="s">
        <v>232</v>
      </c>
      <c r="B67" s="3">
        <v>45700</v>
      </c>
      <c r="C67" t="s">
        <v>18</v>
      </c>
      <c r="D67" t="s">
        <v>87</v>
      </c>
      <c r="E67" t="s">
        <v>88</v>
      </c>
      <c r="F67" t="s">
        <v>21</v>
      </c>
      <c r="G67" t="s">
        <v>91</v>
      </c>
      <c r="H67" t="s">
        <v>66</v>
      </c>
      <c r="I67">
        <v>181</v>
      </c>
      <c r="J67">
        <v>0.9</v>
      </c>
      <c r="K67" s="4">
        <v>162.9</v>
      </c>
      <c r="L67" t="s">
        <v>60</v>
      </c>
      <c r="M67" s="4">
        <v>0.6</v>
      </c>
      <c r="N67" s="4">
        <v>108.6</v>
      </c>
      <c r="O67">
        <v>54.3</v>
      </c>
      <c r="P67" s="5">
        <v>0.33333333333333331</v>
      </c>
    </row>
    <row r="68" spans="1:16" x14ac:dyDescent="0.25">
      <c r="A68" t="s">
        <v>233</v>
      </c>
      <c r="B68" s="3">
        <v>45664</v>
      </c>
      <c r="C68" t="s">
        <v>38</v>
      </c>
      <c r="D68" t="s">
        <v>39</v>
      </c>
      <c r="E68" t="s">
        <v>40</v>
      </c>
      <c r="F68" t="s">
        <v>71</v>
      </c>
      <c r="G68" t="s">
        <v>95</v>
      </c>
      <c r="H68" t="s">
        <v>23</v>
      </c>
      <c r="I68">
        <v>98</v>
      </c>
      <c r="J68">
        <v>0.86</v>
      </c>
      <c r="K68" s="4">
        <v>84.28</v>
      </c>
      <c r="L68" t="s">
        <v>60</v>
      </c>
      <c r="M68" s="4">
        <v>0.36</v>
      </c>
      <c r="N68" s="4">
        <v>35.28</v>
      </c>
      <c r="O68">
        <v>49</v>
      </c>
      <c r="P68" s="5">
        <v>0.58139534883720934</v>
      </c>
    </row>
    <row r="69" spans="1:16" x14ac:dyDescent="0.25">
      <c r="A69" t="s">
        <v>235</v>
      </c>
      <c r="B69" s="3">
        <v>45660</v>
      </c>
      <c r="C69" t="s">
        <v>28</v>
      </c>
      <c r="D69" t="s">
        <v>46</v>
      </c>
      <c r="E69" t="s">
        <v>47</v>
      </c>
      <c r="F69" t="s">
        <v>21</v>
      </c>
      <c r="G69" t="s">
        <v>22</v>
      </c>
      <c r="H69" t="s">
        <v>42</v>
      </c>
      <c r="I69">
        <v>204</v>
      </c>
      <c r="J69">
        <v>1.07</v>
      </c>
      <c r="K69" s="4">
        <v>218.28</v>
      </c>
      <c r="L69" t="s">
        <v>60</v>
      </c>
      <c r="M69" s="4">
        <v>0.63</v>
      </c>
      <c r="N69" s="4">
        <v>128.52000000000001</v>
      </c>
      <c r="O69">
        <v>89.76</v>
      </c>
      <c r="P69" s="5">
        <v>0.41121495327102808</v>
      </c>
    </row>
    <row r="70" spans="1:16" x14ac:dyDescent="0.25">
      <c r="A70" t="s">
        <v>238</v>
      </c>
      <c r="B70" s="3">
        <v>45717</v>
      </c>
      <c r="C70" t="s">
        <v>18</v>
      </c>
      <c r="D70" t="s">
        <v>87</v>
      </c>
      <c r="E70" t="s">
        <v>88</v>
      </c>
      <c r="F70" t="s">
        <v>21</v>
      </c>
      <c r="G70" t="s">
        <v>58</v>
      </c>
      <c r="H70" t="s">
        <v>49</v>
      </c>
      <c r="I70">
        <v>248</v>
      </c>
      <c r="J70">
        <v>0.84</v>
      </c>
      <c r="K70" s="4">
        <v>208.32</v>
      </c>
      <c r="L70" t="s">
        <v>35</v>
      </c>
      <c r="M70" s="4">
        <v>0.53</v>
      </c>
      <c r="N70" s="4">
        <v>131.44</v>
      </c>
      <c r="O70">
        <v>76.88</v>
      </c>
      <c r="P70" s="5">
        <v>0.36904761904761901</v>
      </c>
    </row>
    <row r="71" spans="1:16" x14ac:dyDescent="0.25">
      <c r="A71" t="s">
        <v>241</v>
      </c>
      <c r="B71" s="3">
        <v>45710</v>
      </c>
      <c r="C71" t="s">
        <v>28</v>
      </c>
      <c r="D71" t="s">
        <v>29</v>
      </c>
      <c r="E71" t="s">
        <v>30</v>
      </c>
      <c r="F71" t="s">
        <v>71</v>
      </c>
      <c r="G71" t="s">
        <v>72</v>
      </c>
      <c r="H71" t="s">
        <v>66</v>
      </c>
      <c r="I71">
        <v>61</v>
      </c>
      <c r="J71">
        <v>1.1100000000000001</v>
      </c>
      <c r="K71" s="4">
        <v>67.710000000000008</v>
      </c>
      <c r="L71" t="s">
        <v>25</v>
      </c>
      <c r="M71" s="4">
        <v>0.53</v>
      </c>
      <c r="N71" s="4">
        <v>32.33</v>
      </c>
      <c r="O71">
        <v>35.380000000000003</v>
      </c>
      <c r="P71" s="5">
        <v>0.52252252252252251</v>
      </c>
    </row>
    <row r="72" spans="1:16" x14ac:dyDescent="0.25">
      <c r="A72" t="s">
        <v>242</v>
      </c>
      <c r="B72" s="3">
        <v>45672</v>
      </c>
      <c r="C72" t="s">
        <v>38</v>
      </c>
      <c r="D72" t="s">
        <v>39</v>
      </c>
      <c r="E72" t="s">
        <v>40</v>
      </c>
      <c r="F72" t="s">
        <v>31</v>
      </c>
      <c r="G72" t="s">
        <v>32</v>
      </c>
      <c r="H72" t="s">
        <v>73</v>
      </c>
      <c r="I72">
        <v>229</v>
      </c>
      <c r="J72">
        <v>1.1399999999999999</v>
      </c>
      <c r="K72" s="4">
        <v>261.06</v>
      </c>
      <c r="L72" t="s">
        <v>25</v>
      </c>
      <c r="M72" s="4">
        <v>0.62</v>
      </c>
      <c r="N72" s="4">
        <v>141.97999999999999</v>
      </c>
      <c r="O72">
        <v>119.08</v>
      </c>
      <c r="P72" s="5">
        <v>0.45614035087719296</v>
      </c>
    </row>
    <row r="73" spans="1:16" x14ac:dyDescent="0.25">
      <c r="A73" t="s">
        <v>244</v>
      </c>
      <c r="B73" s="3">
        <v>45727</v>
      </c>
      <c r="C73" t="s">
        <v>18</v>
      </c>
      <c r="D73" t="s">
        <v>19</v>
      </c>
      <c r="E73" t="s">
        <v>20</v>
      </c>
      <c r="F73" t="s">
        <v>31</v>
      </c>
      <c r="G73" t="s">
        <v>32</v>
      </c>
      <c r="H73" t="s">
        <v>23</v>
      </c>
      <c r="I73">
        <v>202</v>
      </c>
      <c r="J73">
        <v>1.53</v>
      </c>
      <c r="K73" s="4">
        <v>309.06</v>
      </c>
      <c r="L73" t="s">
        <v>25</v>
      </c>
      <c r="M73" s="4">
        <v>0.93</v>
      </c>
      <c r="N73" s="4">
        <v>187.86</v>
      </c>
      <c r="O73">
        <v>121.2</v>
      </c>
      <c r="P73" s="5">
        <v>0.39215686274509803</v>
      </c>
    </row>
    <row r="74" spans="1:16" x14ac:dyDescent="0.25">
      <c r="A74" t="s">
        <v>245</v>
      </c>
      <c r="B74" s="3">
        <v>45696</v>
      </c>
      <c r="C74" t="s">
        <v>38</v>
      </c>
      <c r="D74" t="s">
        <v>53</v>
      </c>
      <c r="E74" t="s">
        <v>54</v>
      </c>
      <c r="F74" t="s">
        <v>21</v>
      </c>
      <c r="G74" t="s">
        <v>91</v>
      </c>
      <c r="H74" t="s">
        <v>105</v>
      </c>
      <c r="I74">
        <v>106</v>
      </c>
      <c r="J74">
        <v>1.08</v>
      </c>
      <c r="K74" s="4">
        <v>114.48</v>
      </c>
      <c r="L74" t="s">
        <v>25</v>
      </c>
      <c r="M74" s="4">
        <v>0.5</v>
      </c>
      <c r="N74" s="4">
        <v>53</v>
      </c>
      <c r="O74">
        <v>61.48</v>
      </c>
      <c r="P74" s="5">
        <v>0.53703703703703698</v>
      </c>
    </row>
    <row r="75" spans="1:16" x14ac:dyDescent="0.25">
      <c r="A75" t="s">
        <v>247</v>
      </c>
      <c r="B75" s="3">
        <v>45671</v>
      </c>
      <c r="C75" t="s">
        <v>38</v>
      </c>
      <c r="D75" t="s">
        <v>53</v>
      </c>
      <c r="E75" t="s">
        <v>54</v>
      </c>
      <c r="F75" t="s">
        <v>31</v>
      </c>
      <c r="G75" t="s">
        <v>32</v>
      </c>
      <c r="H75" t="s">
        <v>42</v>
      </c>
      <c r="I75">
        <v>209</v>
      </c>
      <c r="J75">
        <v>1.6</v>
      </c>
      <c r="K75" s="4">
        <v>334.40000000000003</v>
      </c>
      <c r="L75" t="s">
        <v>25</v>
      </c>
      <c r="M75" s="4">
        <v>0.81</v>
      </c>
      <c r="N75" s="4">
        <v>169.29000000000002</v>
      </c>
      <c r="O75">
        <v>165.11</v>
      </c>
      <c r="P75" s="5">
        <v>0.49374999999999997</v>
      </c>
    </row>
    <row r="76" spans="1:16" x14ac:dyDescent="0.25">
      <c r="A76" t="s">
        <v>249</v>
      </c>
      <c r="B76" s="3">
        <v>45687</v>
      </c>
      <c r="C76" t="s">
        <v>18</v>
      </c>
      <c r="D76" t="s">
        <v>87</v>
      </c>
      <c r="E76" t="s">
        <v>88</v>
      </c>
      <c r="F76" t="s">
        <v>31</v>
      </c>
      <c r="G76" t="s">
        <v>32</v>
      </c>
      <c r="H76" t="s">
        <v>42</v>
      </c>
      <c r="I76">
        <v>227</v>
      </c>
      <c r="J76">
        <v>1.1200000000000001</v>
      </c>
      <c r="K76" s="4">
        <v>254.24000000000004</v>
      </c>
      <c r="L76" t="s">
        <v>35</v>
      </c>
      <c r="M76" s="4">
        <v>0.53</v>
      </c>
      <c r="N76" s="4">
        <v>120.31</v>
      </c>
      <c r="O76">
        <v>133.93</v>
      </c>
      <c r="P76" s="5">
        <v>0.52678571428571419</v>
      </c>
    </row>
    <row r="77" spans="1:16" x14ac:dyDescent="0.25">
      <c r="A77" t="s">
        <v>252</v>
      </c>
      <c r="B77" s="3">
        <v>45667</v>
      </c>
      <c r="C77" t="s">
        <v>18</v>
      </c>
      <c r="D77" t="s">
        <v>19</v>
      </c>
      <c r="E77" t="s">
        <v>20</v>
      </c>
      <c r="F77" t="s">
        <v>31</v>
      </c>
      <c r="G77" t="s">
        <v>48</v>
      </c>
      <c r="H77" t="s">
        <v>42</v>
      </c>
      <c r="I77">
        <v>61</v>
      </c>
      <c r="J77">
        <v>1.26</v>
      </c>
      <c r="K77" s="4">
        <v>76.86</v>
      </c>
      <c r="L77" t="s">
        <v>60</v>
      </c>
      <c r="M77" s="4">
        <v>0.69</v>
      </c>
      <c r="N77" s="4">
        <v>42.089999999999996</v>
      </c>
      <c r="O77">
        <v>34.770000000000003</v>
      </c>
      <c r="P77" s="5">
        <v>0.45238095238095244</v>
      </c>
    </row>
    <row r="78" spans="1:16" x14ac:dyDescent="0.25">
      <c r="A78" t="s">
        <v>254</v>
      </c>
      <c r="B78" s="3">
        <v>45682</v>
      </c>
      <c r="C78" t="s">
        <v>28</v>
      </c>
      <c r="D78" t="s">
        <v>29</v>
      </c>
      <c r="E78" t="s">
        <v>30</v>
      </c>
      <c r="F78" t="s">
        <v>31</v>
      </c>
      <c r="G78" t="s">
        <v>41</v>
      </c>
      <c r="H78" t="s">
        <v>42</v>
      </c>
      <c r="I78">
        <v>102</v>
      </c>
      <c r="J78">
        <v>0.95</v>
      </c>
      <c r="K78" s="4">
        <v>96.899999999999991</v>
      </c>
      <c r="L78" t="s">
        <v>25</v>
      </c>
      <c r="M78" s="4">
        <v>0.48</v>
      </c>
      <c r="N78" s="4">
        <v>48.96</v>
      </c>
      <c r="O78">
        <v>47.94</v>
      </c>
      <c r="P78" s="5">
        <v>0.4947368421052632</v>
      </c>
    </row>
    <row r="79" spans="1:16" x14ac:dyDescent="0.25">
      <c r="A79" t="s">
        <v>257</v>
      </c>
      <c r="B79" s="3">
        <v>45715</v>
      </c>
      <c r="C79" t="s">
        <v>38</v>
      </c>
      <c r="D79" t="s">
        <v>39</v>
      </c>
      <c r="E79" t="s">
        <v>40</v>
      </c>
      <c r="F79" t="s">
        <v>71</v>
      </c>
      <c r="G79" t="s">
        <v>72</v>
      </c>
      <c r="H79" t="s">
        <v>105</v>
      </c>
      <c r="I79">
        <v>129</v>
      </c>
      <c r="J79">
        <v>1.43</v>
      </c>
      <c r="K79" s="4">
        <v>184.47</v>
      </c>
      <c r="L79" t="s">
        <v>25</v>
      </c>
      <c r="M79" s="4">
        <v>0.65</v>
      </c>
      <c r="N79" s="4">
        <v>83.850000000000009</v>
      </c>
      <c r="O79">
        <v>100.62</v>
      </c>
      <c r="P79" s="5">
        <v>0.54545454545454553</v>
      </c>
    </row>
    <row r="80" spans="1:16" x14ac:dyDescent="0.25">
      <c r="A80" t="s">
        <v>258</v>
      </c>
      <c r="B80" s="3">
        <v>45738</v>
      </c>
      <c r="C80" t="s">
        <v>28</v>
      </c>
      <c r="D80" t="s">
        <v>46</v>
      </c>
      <c r="E80" t="s">
        <v>47</v>
      </c>
      <c r="F80" t="s">
        <v>21</v>
      </c>
      <c r="G80" t="s">
        <v>58</v>
      </c>
      <c r="H80" t="s">
        <v>73</v>
      </c>
      <c r="I80">
        <v>210</v>
      </c>
      <c r="J80">
        <v>1.03</v>
      </c>
      <c r="K80" s="4">
        <v>216.3</v>
      </c>
      <c r="L80" t="s">
        <v>25</v>
      </c>
      <c r="M80" s="4">
        <v>0.43</v>
      </c>
      <c r="N80" s="4">
        <v>90.3</v>
      </c>
      <c r="O80">
        <v>126</v>
      </c>
      <c r="P80" s="5">
        <v>0.58252427184466016</v>
      </c>
    </row>
    <row r="81" spans="1:16" x14ac:dyDescent="0.25">
      <c r="A81" t="s">
        <v>261</v>
      </c>
      <c r="B81" s="3">
        <v>45719</v>
      </c>
      <c r="C81" t="s">
        <v>18</v>
      </c>
      <c r="D81" t="s">
        <v>19</v>
      </c>
      <c r="E81" t="s">
        <v>20</v>
      </c>
      <c r="F81" t="s">
        <v>71</v>
      </c>
      <c r="G81" t="s">
        <v>72</v>
      </c>
      <c r="H81" t="s">
        <v>105</v>
      </c>
      <c r="I81">
        <v>61</v>
      </c>
      <c r="J81">
        <v>1.34</v>
      </c>
      <c r="K81" s="4">
        <v>81.740000000000009</v>
      </c>
      <c r="L81" t="s">
        <v>25</v>
      </c>
      <c r="M81" s="4">
        <v>0.6</v>
      </c>
      <c r="N81" s="4">
        <v>36.6</v>
      </c>
      <c r="O81">
        <v>45.14</v>
      </c>
      <c r="P81" s="5">
        <v>0.55223880597014918</v>
      </c>
    </row>
    <row r="82" spans="1:16" x14ac:dyDescent="0.25">
      <c r="A82" t="s">
        <v>264</v>
      </c>
      <c r="B82" s="3">
        <v>45693</v>
      </c>
      <c r="C82" t="s">
        <v>38</v>
      </c>
      <c r="D82" t="s">
        <v>53</v>
      </c>
      <c r="E82" t="s">
        <v>54</v>
      </c>
      <c r="F82" t="s">
        <v>31</v>
      </c>
      <c r="G82" t="s">
        <v>41</v>
      </c>
      <c r="H82" t="s">
        <v>49</v>
      </c>
      <c r="I82">
        <v>146</v>
      </c>
      <c r="J82">
        <v>0.95</v>
      </c>
      <c r="K82" s="4">
        <v>138.69999999999999</v>
      </c>
      <c r="L82" t="s">
        <v>25</v>
      </c>
      <c r="M82" s="4">
        <v>0.56000000000000005</v>
      </c>
      <c r="N82" s="4">
        <v>81.760000000000005</v>
      </c>
      <c r="O82">
        <v>56.94</v>
      </c>
      <c r="P82" s="5">
        <v>0.41052631578947368</v>
      </c>
    </row>
    <row r="83" spans="1:16" x14ac:dyDescent="0.25">
      <c r="A83" t="s">
        <v>266</v>
      </c>
      <c r="B83" s="3">
        <v>45663</v>
      </c>
      <c r="C83" t="s">
        <v>18</v>
      </c>
      <c r="D83" t="s">
        <v>19</v>
      </c>
      <c r="E83" t="s">
        <v>20</v>
      </c>
      <c r="F83" t="s">
        <v>71</v>
      </c>
      <c r="G83" t="s">
        <v>95</v>
      </c>
      <c r="H83" t="s">
        <v>80</v>
      </c>
      <c r="I83">
        <v>109</v>
      </c>
      <c r="J83">
        <v>1.1499999999999999</v>
      </c>
      <c r="K83" s="4">
        <v>125.35</v>
      </c>
      <c r="L83" t="s">
        <v>35</v>
      </c>
      <c r="M83" s="4">
        <v>0.57999999999999996</v>
      </c>
      <c r="N83" s="4">
        <v>63.22</v>
      </c>
      <c r="O83">
        <v>62.13</v>
      </c>
      <c r="P83" s="5">
        <v>0.4956521739130435</v>
      </c>
    </row>
    <row r="84" spans="1:16" x14ac:dyDescent="0.25">
      <c r="A84" t="s">
        <v>269</v>
      </c>
      <c r="B84" s="3">
        <v>45727</v>
      </c>
      <c r="C84" t="s">
        <v>18</v>
      </c>
      <c r="D84" t="s">
        <v>87</v>
      </c>
      <c r="E84" t="s">
        <v>88</v>
      </c>
      <c r="F84" t="s">
        <v>71</v>
      </c>
      <c r="G84" t="s">
        <v>95</v>
      </c>
      <c r="H84" t="s">
        <v>49</v>
      </c>
      <c r="I84">
        <v>79</v>
      </c>
      <c r="J84">
        <v>1.1299999999999999</v>
      </c>
      <c r="K84" s="4">
        <v>89.27</v>
      </c>
      <c r="L84" t="s">
        <v>25</v>
      </c>
      <c r="M84" s="4">
        <v>0.7</v>
      </c>
      <c r="N84" s="4">
        <v>55.3</v>
      </c>
      <c r="O84">
        <v>33.97</v>
      </c>
      <c r="P84" s="5">
        <v>0.38053097345132741</v>
      </c>
    </row>
    <row r="85" spans="1:16" x14ac:dyDescent="0.25">
      <c r="A85" t="s">
        <v>271</v>
      </c>
      <c r="B85" s="3">
        <v>45721</v>
      </c>
      <c r="C85" t="s">
        <v>38</v>
      </c>
      <c r="D85" t="s">
        <v>39</v>
      </c>
      <c r="E85" t="s">
        <v>40</v>
      </c>
      <c r="F85" t="s">
        <v>31</v>
      </c>
      <c r="G85" t="s">
        <v>41</v>
      </c>
      <c r="H85" t="s">
        <v>80</v>
      </c>
      <c r="I85">
        <v>71</v>
      </c>
      <c r="J85">
        <v>1.41</v>
      </c>
      <c r="K85" s="4">
        <v>100.11</v>
      </c>
      <c r="L85" t="s">
        <v>60</v>
      </c>
      <c r="M85" s="4">
        <v>0.7</v>
      </c>
      <c r="N85" s="4">
        <v>49.699999999999996</v>
      </c>
      <c r="O85">
        <v>50.41</v>
      </c>
      <c r="P85" s="5">
        <v>0.50354609929078009</v>
      </c>
    </row>
    <row r="86" spans="1:16" x14ac:dyDescent="0.25">
      <c r="A86" t="s">
        <v>273</v>
      </c>
      <c r="B86" s="3">
        <v>45712</v>
      </c>
      <c r="C86" t="s">
        <v>18</v>
      </c>
      <c r="D86" t="s">
        <v>19</v>
      </c>
      <c r="E86" t="s">
        <v>20</v>
      </c>
      <c r="F86" t="s">
        <v>71</v>
      </c>
      <c r="G86" t="s">
        <v>72</v>
      </c>
      <c r="H86" t="s">
        <v>105</v>
      </c>
      <c r="I86">
        <v>92</v>
      </c>
      <c r="J86">
        <v>0.92</v>
      </c>
      <c r="K86" s="4">
        <v>84.64</v>
      </c>
      <c r="L86" t="s">
        <v>35</v>
      </c>
      <c r="M86" s="4">
        <v>0.63</v>
      </c>
      <c r="N86" s="4">
        <v>57.96</v>
      </c>
      <c r="O86">
        <v>26.68</v>
      </c>
      <c r="P86" s="5">
        <v>0.31521739130434784</v>
      </c>
    </row>
    <row r="87" spans="1:16" x14ac:dyDescent="0.25">
      <c r="A87" t="s">
        <v>275</v>
      </c>
      <c r="B87" s="3">
        <v>45687</v>
      </c>
      <c r="C87" t="s">
        <v>28</v>
      </c>
      <c r="D87" t="s">
        <v>46</v>
      </c>
      <c r="E87" t="s">
        <v>47</v>
      </c>
      <c r="F87" t="s">
        <v>21</v>
      </c>
      <c r="G87" t="s">
        <v>22</v>
      </c>
      <c r="H87" t="s">
        <v>105</v>
      </c>
      <c r="I87">
        <v>203</v>
      </c>
      <c r="J87">
        <v>1.03</v>
      </c>
      <c r="K87" s="4">
        <v>209.09</v>
      </c>
      <c r="L87" t="s">
        <v>25</v>
      </c>
      <c r="M87" s="4">
        <v>0.48</v>
      </c>
      <c r="N87" s="4">
        <v>97.44</v>
      </c>
      <c r="O87">
        <v>111.65</v>
      </c>
      <c r="P87" s="5">
        <v>0.53398058252427183</v>
      </c>
    </row>
    <row r="88" spans="1:16" x14ac:dyDescent="0.25">
      <c r="A88" t="s">
        <v>277</v>
      </c>
      <c r="B88" s="3">
        <v>45746</v>
      </c>
      <c r="C88" t="s">
        <v>28</v>
      </c>
      <c r="D88" t="s">
        <v>46</v>
      </c>
      <c r="E88" t="s">
        <v>70</v>
      </c>
      <c r="F88" t="s">
        <v>21</v>
      </c>
      <c r="G88" t="s">
        <v>91</v>
      </c>
      <c r="H88" t="s">
        <v>80</v>
      </c>
      <c r="I88">
        <v>191</v>
      </c>
      <c r="J88">
        <v>1.59</v>
      </c>
      <c r="K88" s="4">
        <v>303.69</v>
      </c>
      <c r="L88" t="s">
        <v>25</v>
      </c>
      <c r="M88" s="4">
        <v>1.1100000000000001</v>
      </c>
      <c r="N88" s="4">
        <v>212.01000000000002</v>
      </c>
      <c r="O88">
        <v>91.68</v>
      </c>
      <c r="P88" s="5">
        <v>0.30188679245283023</v>
      </c>
    </row>
    <row r="89" spans="1:16" x14ac:dyDescent="0.25">
      <c r="A89" t="s">
        <v>279</v>
      </c>
      <c r="B89" s="3">
        <v>45742</v>
      </c>
      <c r="C89" t="s">
        <v>18</v>
      </c>
      <c r="D89" t="s">
        <v>19</v>
      </c>
      <c r="E89" t="s">
        <v>20</v>
      </c>
      <c r="F89" t="s">
        <v>21</v>
      </c>
      <c r="G89" t="s">
        <v>58</v>
      </c>
      <c r="H89" t="s">
        <v>33</v>
      </c>
      <c r="I89">
        <v>65</v>
      </c>
      <c r="J89">
        <v>1.36</v>
      </c>
      <c r="K89" s="4">
        <v>88.4</v>
      </c>
      <c r="L89" t="s">
        <v>60</v>
      </c>
      <c r="M89" s="4">
        <v>0.65</v>
      </c>
      <c r="N89" s="4">
        <v>42.25</v>
      </c>
      <c r="O89">
        <v>46.15</v>
      </c>
      <c r="P89" s="5">
        <v>0.52205882352941169</v>
      </c>
    </row>
    <row r="90" spans="1:16" x14ac:dyDescent="0.25">
      <c r="A90" t="s">
        <v>282</v>
      </c>
      <c r="B90" s="3">
        <v>45696</v>
      </c>
      <c r="C90" t="s">
        <v>18</v>
      </c>
      <c r="D90" t="s">
        <v>87</v>
      </c>
      <c r="E90" t="s">
        <v>88</v>
      </c>
      <c r="F90" t="s">
        <v>21</v>
      </c>
      <c r="G90" t="s">
        <v>58</v>
      </c>
      <c r="H90" t="s">
        <v>42</v>
      </c>
      <c r="I90">
        <v>176</v>
      </c>
      <c r="J90">
        <v>1.07</v>
      </c>
      <c r="K90" s="4">
        <v>188.32000000000002</v>
      </c>
      <c r="L90" t="s">
        <v>25</v>
      </c>
      <c r="M90" s="4">
        <v>0.5</v>
      </c>
      <c r="N90" s="4">
        <v>88</v>
      </c>
      <c r="O90">
        <v>100.32</v>
      </c>
      <c r="P90" s="5">
        <v>0.53271028037383172</v>
      </c>
    </row>
    <row r="91" spans="1:16" x14ac:dyDescent="0.25">
      <c r="A91" t="s">
        <v>284</v>
      </c>
      <c r="B91" s="3">
        <v>45684</v>
      </c>
      <c r="C91" t="s">
        <v>28</v>
      </c>
      <c r="D91" t="s">
        <v>46</v>
      </c>
      <c r="E91" t="s">
        <v>70</v>
      </c>
      <c r="F91" t="s">
        <v>71</v>
      </c>
      <c r="G91" t="s">
        <v>95</v>
      </c>
      <c r="H91" t="s">
        <v>73</v>
      </c>
      <c r="I91">
        <v>109</v>
      </c>
      <c r="J91">
        <v>1.54</v>
      </c>
      <c r="K91" s="4">
        <v>167.86</v>
      </c>
      <c r="L91" t="s">
        <v>35</v>
      </c>
      <c r="M91" s="4">
        <v>0.88</v>
      </c>
      <c r="N91" s="4">
        <v>95.92</v>
      </c>
      <c r="O91">
        <v>71.94</v>
      </c>
      <c r="P91" s="5">
        <v>0.42857142857142855</v>
      </c>
    </row>
    <row r="92" spans="1:16" x14ac:dyDescent="0.25">
      <c r="A92" t="s">
        <v>287</v>
      </c>
      <c r="B92" s="3">
        <v>45714</v>
      </c>
      <c r="C92" t="s">
        <v>38</v>
      </c>
      <c r="D92" t="s">
        <v>53</v>
      </c>
      <c r="E92" t="s">
        <v>54</v>
      </c>
      <c r="F92" t="s">
        <v>31</v>
      </c>
      <c r="G92" t="s">
        <v>41</v>
      </c>
      <c r="H92" t="s">
        <v>23</v>
      </c>
      <c r="I92">
        <v>182</v>
      </c>
      <c r="J92">
        <v>1.51</v>
      </c>
      <c r="K92" s="4">
        <v>274.82</v>
      </c>
      <c r="L92" t="s">
        <v>60</v>
      </c>
      <c r="M92" s="4">
        <v>0.97</v>
      </c>
      <c r="N92" s="4">
        <v>176.54</v>
      </c>
      <c r="O92">
        <v>98.28</v>
      </c>
      <c r="P92" s="5">
        <v>0.35761589403973509</v>
      </c>
    </row>
    <row r="93" spans="1:16" x14ac:dyDescent="0.25">
      <c r="A93" t="s">
        <v>290</v>
      </c>
      <c r="B93" s="3">
        <v>45660</v>
      </c>
      <c r="C93" t="s">
        <v>18</v>
      </c>
      <c r="D93" t="s">
        <v>87</v>
      </c>
      <c r="E93" t="s">
        <v>88</v>
      </c>
      <c r="F93" t="s">
        <v>21</v>
      </c>
      <c r="G93" t="s">
        <v>58</v>
      </c>
      <c r="H93" t="s">
        <v>33</v>
      </c>
      <c r="I93">
        <v>136</v>
      </c>
      <c r="J93">
        <v>1.21</v>
      </c>
      <c r="K93" s="4">
        <v>164.56</v>
      </c>
      <c r="L93" t="s">
        <v>35</v>
      </c>
      <c r="M93" s="4">
        <v>0.49</v>
      </c>
      <c r="N93" s="4">
        <v>66.64</v>
      </c>
      <c r="O93">
        <v>97.92</v>
      </c>
      <c r="P93" s="5">
        <v>0.5950413223140496</v>
      </c>
    </row>
    <row r="94" spans="1:16" x14ac:dyDescent="0.25">
      <c r="A94" t="s">
        <v>292</v>
      </c>
      <c r="B94" s="3">
        <v>45715</v>
      </c>
      <c r="C94" t="s">
        <v>18</v>
      </c>
      <c r="D94" t="s">
        <v>87</v>
      </c>
      <c r="E94" t="s">
        <v>88</v>
      </c>
      <c r="F94" t="s">
        <v>71</v>
      </c>
      <c r="G94" t="s">
        <v>95</v>
      </c>
      <c r="H94" t="s">
        <v>49</v>
      </c>
      <c r="I94">
        <v>198</v>
      </c>
      <c r="J94">
        <v>1.29</v>
      </c>
      <c r="K94" s="4">
        <v>255.42000000000002</v>
      </c>
      <c r="L94" t="s">
        <v>35</v>
      </c>
      <c r="M94" s="4">
        <v>0.81</v>
      </c>
      <c r="N94" s="4">
        <v>160.38000000000002</v>
      </c>
      <c r="O94">
        <v>95.04</v>
      </c>
      <c r="P94" s="5">
        <v>0.37209302325581395</v>
      </c>
    </row>
    <row r="95" spans="1:16" x14ac:dyDescent="0.25">
      <c r="A95" t="s">
        <v>294</v>
      </c>
      <c r="B95" s="3">
        <v>45721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>
        <v>73</v>
      </c>
      <c r="J95">
        <v>1.22</v>
      </c>
      <c r="K95" s="4">
        <v>89.06</v>
      </c>
      <c r="L95" t="s">
        <v>35</v>
      </c>
      <c r="M95" s="4">
        <v>0.68</v>
      </c>
      <c r="N95" s="4">
        <v>49.64</v>
      </c>
      <c r="O95">
        <v>39.42</v>
      </c>
      <c r="P95" s="5">
        <v>0.44262295081967212</v>
      </c>
    </row>
    <row r="96" spans="1:16" x14ac:dyDescent="0.25">
      <c r="A96" t="s">
        <v>296</v>
      </c>
      <c r="B96" s="3">
        <v>45698</v>
      </c>
      <c r="C96" t="s">
        <v>28</v>
      </c>
      <c r="D96" t="s">
        <v>29</v>
      </c>
      <c r="E96" t="s">
        <v>30</v>
      </c>
      <c r="F96" t="s">
        <v>21</v>
      </c>
      <c r="G96" t="s">
        <v>58</v>
      </c>
      <c r="H96" t="s">
        <v>105</v>
      </c>
      <c r="I96">
        <v>123</v>
      </c>
      <c r="J96">
        <v>1.1399999999999999</v>
      </c>
      <c r="K96" s="4">
        <v>140.22</v>
      </c>
      <c r="L96" t="s">
        <v>60</v>
      </c>
      <c r="M96" s="4">
        <v>0.74</v>
      </c>
      <c r="N96" s="4">
        <v>91.02</v>
      </c>
      <c r="O96">
        <v>49.2</v>
      </c>
      <c r="P96" s="5">
        <v>0.35087719298245618</v>
      </c>
    </row>
    <row r="97" spans="1:16" x14ac:dyDescent="0.25">
      <c r="A97" t="s">
        <v>299</v>
      </c>
      <c r="B97" s="3">
        <v>45667</v>
      </c>
      <c r="C97" t="s">
        <v>18</v>
      </c>
      <c r="D97" t="s">
        <v>19</v>
      </c>
      <c r="E97" t="s">
        <v>20</v>
      </c>
      <c r="F97" t="s">
        <v>71</v>
      </c>
      <c r="G97" t="s">
        <v>95</v>
      </c>
      <c r="H97" t="s">
        <v>105</v>
      </c>
      <c r="I97">
        <v>162</v>
      </c>
      <c r="J97">
        <v>0.95</v>
      </c>
      <c r="K97" s="4">
        <v>153.9</v>
      </c>
      <c r="L97" t="s">
        <v>25</v>
      </c>
      <c r="M97" s="4">
        <v>0.53</v>
      </c>
      <c r="N97" s="4">
        <v>85.86</v>
      </c>
      <c r="O97">
        <v>68.040000000000006</v>
      </c>
      <c r="P97" s="5">
        <v>0.44210526315789478</v>
      </c>
    </row>
    <row r="98" spans="1:16" x14ac:dyDescent="0.25">
      <c r="A98" t="s">
        <v>300</v>
      </c>
      <c r="B98" s="3">
        <v>45711</v>
      </c>
      <c r="C98" t="s">
        <v>38</v>
      </c>
      <c r="D98" t="s">
        <v>53</v>
      </c>
      <c r="E98" t="s">
        <v>54</v>
      </c>
      <c r="F98" t="s">
        <v>21</v>
      </c>
      <c r="G98" t="s">
        <v>22</v>
      </c>
      <c r="H98" t="s">
        <v>80</v>
      </c>
      <c r="I98">
        <v>190</v>
      </c>
      <c r="J98">
        <v>0.93</v>
      </c>
      <c r="K98" s="4">
        <v>176.70000000000002</v>
      </c>
      <c r="L98" t="s">
        <v>25</v>
      </c>
      <c r="M98" s="4">
        <v>0.59</v>
      </c>
      <c r="N98" s="4">
        <v>112.1</v>
      </c>
      <c r="O98">
        <v>64.599999999999994</v>
      </c>
      <c r="P98" s="5">
        <v>0.36559139784946232</v>
      </c>
    </row>
    <row r="99" spans="1:16" x14ac:dyDescent="0.25">
      <c r="A99" t="s">
        <v>303</v>
      </c>
      <c r="B99" s="3">
        <v>45735</v>
      </c>
      <c r="C99" t="s">
        <v>38</v>
      </c>
      <c r="D99" t="s">
        <v>39</v>
      </c>
      <c r="E99" t="s">
        <v>40</v>
      </c>
      <c r="F99" t="s">
        <v>71</v>
      </c>
      <c r="G99" t="s">
        <v>95</v>
      </c>
      <c r="H99" t="s">
        <v>23</v>
      </c>
      <c r="I99">
        <v>243</v>
      </c>
      <c r="J99">
        <v>1.22</v>
      </c>
      <c r="K99" s="4">
        <v>296.45999999999998</v>
      </c>
      <c r="L99" t="s">
        <v>25</v>
      </c>
      <c r="M99" s="4">
        <v>0.6</v>
      </c>
      <c r="N99" s="4">
        <v>145.79999999999998</v>
      </c>
      <c r="O99">
        <v>150.66</v>
      </c>
      <c r="P99" s="5">
        <v>0.50819672131147542</v>
      </c>
    </row>
    <row r="100" spans="1:16" x14ac:dyDescent="0.25">
      <c r="A100" t="s">
        <v>306</v>
      </c>
      <c r="B100" s="3">
        <v>45700</v>
      </c>
      <c r="C100" t="s">
        <v>28</v>
      </c>
      <c r="D100" t="s">
        <v>46</v>
      </c>
      <c r="E100" t="s">
        <v>70</v>
      </c>
      <c r="F100" t="s">
        <v>71</v>
      </c>
      <c r="G100" t="s">
        <v>72</v>
      </c>
      <c r="H100" t="s">
        <v>49</v>
      </c>
      <c r="I100">
        <v>136</v>
      </c>
      <c r="J100">
        <v>1.17</v>
      </c>
      <c r="K100" s="4">
        <v>159.12</v>
      </c>
      <c r="L100" t="s">
        <v>60</v>
      </c>
      <c r="M100" s="4">
        <v>0.59</v>
      </c>
      <c r="N100" s="4">
        <v>80.239999999999995</v>
      </c>
      <c r="O100">
        <v>78.88</v>
      </c>
      <c r="P100" s="5">
        <v>0.49572649572649569</v>
      </c>
    </row>
    <row r="101" spans="1:16" x14ac:dyDescent="0.25">
      <c r="A101" t="s">
        <v>307</v>
      </c>
      <c r="B101" s="3">
        <v>45681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42</v>
      </c>
      <c r="I101">
        <v>226</v>
      </c>
      <c r="J101">
        <v>0.9</v>
      </c>
      <c r="K101" s="4">
        <v>203.4</v>
      </c>
      <c r="L101" t="s">
        <v>60</v>
      </c>
      <c r="M101" s="4">
        <v>0.52</v>
      </c>
      <c r="N101" s="4">
        <v>117.52000000000001</v>
      </c>
      <c r="O101">
        <v>85.88</v>
      </c>
      <c r="P101" s="5">
        <v>0.42222222222222217</v>
      </c>
    </row>
    <row r="102" spans="1:16" x14ac:dyDescent="0.25">
      <c r="A102" t="s">
        <v>309</v>
      </c>
      <c r="B102" s="3">
        <v>45714</v>
      </c>
      <c r="C102" t="s">
        <v>38</v>
      </c>
      <c r="D102" t="s">
        <v>53</v>
      </c>
      <c r="E102" t="s">
        <v>54</v>
      </c>
      <c r="F102" t="s">
        <v>21</v>
      </c>
      <c r="G102" t="s">
        <v>22</v>
      </c>
      <c r="H102" t="s">
        <v>105</v>
      </c>
      <c r="I102">
        <v>247</v>
      </c>
      <c r="J102">
        <v>1.43</v>
      </c>
      <c r="K102" s="4">
        <v>353.21</v>
      </c>
      <c r="L102" t="s">
        <v>60</v>
      </c>
      <c r="M102" s="4">
        <v>0.68</v>
      </c>
      <c r="N102" s="4">
        <v>167.96</v>
      </c>
      <c r="O102">
        <v>185.25</v>
      </c>
      <c r="P102" s="5">
        <v>0.52447552447552448</v>
      </c>
    </row>
    <row r="103" spans="1:16" x14ac:dyDescent="0.25">
      <c r="A103" t="s">
        <v>311</v>
      </c>
      <c r="B103" s="3">
        <v>45695</v>
      </c>
      <c r="C103" t="s">
        <v>28</v>
      </c>
      <c r="D103" t="s">
        <v>29</v>
      </c>
      <c r="E103" t="s">
        <v>30</v>
      </c>
      <c r="F103" t="s">
        <v>31</v>
      </c>
      <c r="G103" t="s">
        <v>32</v>
      </c>
      <c r="H103" t="s">
        <v>49</v>
      </c>
      <c r="I103">
        <v>170</v>
      </c>
      <c r="J103">
        <v>0.9</v>
      </c>
      <c r="K103" s="4">
        <v>153</v>
      </c>
      <c r="L103" t="s">
        <v>35</v>
      </c>
      <c r="M103" s="4">
        <v>0.57999999999999996</v>
      </c>
      <c r="N103" s="4">
        <v>98.6</v>
      </c>
      <c r="O103">
        <v>54.4</v>
      </c>
      <c r="P103" s="5">
        <v>0.35555555555555557</v>
      </c>
    </row>
    <row r="104" spans="1:16" x14ac:dyDescent="0.25">
      <c r="A104" t="s">
        <v>313</v>
      </c>
      <c r="B104" s="3">
        <v>45731</v>
      </c>
      <c r="C104" t="s">
        <v>28</v>
      </c>
      <c r="D104" t="s">
        <v>29</v>
      </c>
      <c r="E104" t="s">
        <v>30</v>
      </c>
      <c r="F104" t="s">
        <v>21</v>
      </c>
      <c r="G104" t="s">
        <v>58</v>
      </c>
      <c r="H104" t="s">
        <v>23</v>
      </c>
      <c r="I104">
        <v>209</v>
      </c>
      <c r="J104">
        <v>1.23</v>
      </c>
      <c r="K104" s="4">
        <v>257.07</v>
      </c>
      <c r="L104" t="s">
        <v>60</v>
      </c>
      <c r="M104" s="4">
        <v>0.68</v>
      </c>
      <c r="N104" s="4">
        <v>142.12</v>
      </c>
      <c r="O104">
        <v>114.95</v>
      </c>
      <c r="P104" s="5">
        <v>0.44715447154471549</v>
      </c>
    </row>
    <row r="105" spans="1:16" x14ac:dyDescent="0.25">
      <c r="A105" t="s">
        <v>315</v>
      </c>
      <c r="B105" s="3">
        <v>45710</v>
      </c>
      <c r="C105" t="s">
        <v>28</v>
      </c>
      <c r="D105" t="s">
        <v>29</v>
      </c>
      <c r="E105" t="s">
        <v>30</v>
      </c>
      <c r="F105" t="s">
        <v>31</v>
      </c>
      <c r="G105" t="s">
        <v>48</v>
      </c>
      <c r="H105" t="s">
        <v>33</v>
      </c>
      <c r="I105">
        <v>194</v>
      </c>
      <c r="J105">
        <v>1.04</v>
      </c>
      <c r="K105" s="4">
        <v>201.76000000000002</v>
      </c>
      <c r="L105" t="s">
        <v>60</v>
      </c>
      <c r="M105" s="4">
        <v>0.57999999999999996</v>
      </c>
      <c r="N105" s="4">
        <v>112.52</v>
      </c>
      <c r="O105">
        <v>89.24</v>
      </c>
      <c r="P105" s="5">
        <v>0.44230769230769224</v>
      </c>
    </row>
    <row r="106" spans="1:16" x14ac:dyDescent="0.25">
      <c r="A106" t="s">
        <v>316</v>
      </c>
      <c r="B106" s="3">
        <v>45740</v>
      </c>
      <c r="C106" t="s">
        <v>18</v>
      </c>
      <c r="D106" t="s">
        <v>87</v>
      </c>
      <c r="E106" t="s">
        <v>88</v>
      </c>
      <c r="F106" t="s">
        <v>71</v>
      </c>
      <c r="G106" t="s">
        <v>95</v>
      </c>
      <c r="H106" t="s">
        <v>49</v>
      </c>
      <c r="I106">
        <v>239</v>
      </c>
      <c r="J106">
        <v>1.26</v>
      </c>
      <c r="K106" s="4">
        <v>301.14</v>
      </c>
      <c r="L106" t="s">
        <v>25</v>
      </c>
      <c r="M106" s="4">
        <v>0.65</v>
      </c>
      <c r="N106" s="4">
        <v>155.35</v>
      </c>
      <c r="O106">
        <v>145.79</v>
      </c>
      <c r="P106" s="5">
        <v>0.48412698412698413</v>
      </c>
    </row>
    <row r="107" spans="1:16" x14ac:dyDescent="0.25">
      <c r="A107" t="s">
        <v>318</v>
      </c>
      <c r="B107" s="3">
        <v>45716</v>
      </c>
      <c r="C107" t="s">
        <v>38</v>
      </c>
      <c r="D107" t="s">
        <v>53</v>
      </c>
      <c r="E107" t="s">
        <v>54</v>
      </c>
      <c r="F107" t="s">
        <v>71</v>
      </c>
      <c r="G107" t="s">
        <v>95</v>
      </c>
      <c r="H107" t="s">
        <v>33</v>
      </c>
      <c r="I107">
        <v>217</v>
      </c>
      <c r="J107">
        <v>0.92</v>
      </c>
      <c r="K107" s="4">
        <v>199.64000000000001</v>
      </c>
      <c r="L107" t="s">
        <v>60</v>
      </c>
      <c r="M107" s="4">
        <v>0.45</v>
      </c>
      <c r="N107" s="4">
        <v>97.65</v>
      </c>
      <c r="O107">
        <v>101.99</v>
      </c>
      <c r="P107" s="5">
        <v>0.51086956521739124</v>
      </c>
    </row>
    <row r="108" spans="1:16" x14ac:dyDescent="0.25">
      <c r="A108" t="s">
        <v>321</v>
      </c>
      <c r="B108" s="3">
        <v>45663</v>
      </c>
      <c r="C108" t="s">
        <v>28</v>
      </c>
      <c r="D108" t="s">
        <v>46</v>
      </c>
      <c r="E108" t="s">
        <v>47</v>
      </c>
      <c r="F108" t="s">
        <v>31</v>
      </c>
      <c r="G108" t="s">
        <v>41</v>
      </c>
      <c r="H108" t="s">
        <v>73</v>
      </c>
      <c r="I108">
        <v>134</v>
      </c>
      <c r="J108">
        <v>1.1200000000000001</v>
      </c>
      <c r="K108" s="4">
        <v>150.08000000000001</v>
      </c>
      <c r="L108" t="s">
        <v>60</v>
      </c>
      <c r="M108" s="4">
        <v>0.74</v>
      </c>
      <c r="N108" s="4">
        <v>99.16</v>
      </c>
      <c r="O108">
        <v>50.92</v>
      </c>
      <c r="P108" s="5">
        <v>0.33928571428571425</v>
      </c>
    </row>
    <row r="109" spans="1:16" x14ac:dyDescent="0.25">
      <c r="A109" t="s">
        <v>322</v>
      </c>
      <c r="B109" s="3">
        <v>45733</v>
      </c>
      <c r="C109" t="s">
        <v>18</v>
      </c>
      <c r="D109" t="s">
        <v>87</v>
      </c>
      <c r="E109" t="s">
        <v>88</v>
      </c>
      <c r="F109" t="s">
        <v>71</v>
      </c>
      <c r="G109" t="s">
        <v>72</v>
      </c>
      <c r="H109" t="s">
        <v>105</v>
      </c>
      <c r="I109">
        <v>108</v>
      </c>
      <c r="J109">
        <v>1.06</v>
      </c>
      <c r="K109" s="4">
        <v>114.48</v>
      </c>
      <c r="L109" t="s">
        <v>35</v>
      </c>
      <c r="M109" s="4">
        <v>0.5</v>
      </c>
      <c r="N109" s="4">
        <v>54</v>
      </c>
      <c r="O109">
        <v>60.48</v>
      </c>
      <c r="P109" s="5">
        <v>0.52830188679245282</v>
      </c>
    </row>
    <row r="110" spans="1:16" x14ac:dyDescent="0.25">
      <c r="A110" t="s">
        <v>325</v>
      </c>
      <c r="B110" s="3">
        <v>45692</v>
      </c>
      <c r="C110" t="s">
        <v>38</v>
      </c>
      <c r="D110" t="s">
        <v>53</v>
      </c>
      <c r="E110" t="s">
        <v>54</v>
      </c>
      <c r="F110" t="s">
        <v>31</v>
      </c>
      <c r="G110" t="s">
        <v>32</v>
      </c>
      <c r="H110" t="s">
        <v>66</v>
      </c>
      <c r="I110">
        <v>103</v>
      </c>
      <c r="J110">
        <v>1.52</v>
      </c>
      <c r="K110" s="4">
        <v>156.56</v>
      </c>
      <c r="L110" t="s">
        <v>60</v>
      </c>
      <c r="M110" s="4">
        <v>0.98</v>
      </c>
      <c r="N110" s="4">
        <v>100.94</v>
      </c>
      <c r="O110">
        <v>55.62</v>
      </c>
      <c r="P110" s="5">
        <v>0.35526315789473684</v>
      </c>
    </row>
    <row r="111" spans="1:16" x14ac:dyDescent="0.25">
      <c r="A111" t="s">
        <v>328</v>
      </c>
      <c r="B111" s="3">
        <v>45666</v>
      </c>
      <c r="C111" t="s">
        <v>18</v>
      </c>
      <c r="D111" t="s">
        <v>87</v>
      </c>
      <c r="E111" t="s">
        <v>88</v>
      </c>
      <c r="F111" t="s">
        <v>21</v>
      </c>
      <c r="G111" t="s">
        <v>22</v>
      </c>
      <c r="H111" t="s">
        <v>73</v>
      </c>
      <c r="I111">
        <v>199</v>
      </c>
      <c r="J111">
        <v>1.58</v>
      </c>
      <c r="K111" s="4">
        <v>314.42</v>
      </c>
      <c r="L111" t="s">
        <v>25</v>
      </c>
      <c r="M111" s="4">
        <v>0.64</v>
      </c>
      <c r="N111" s="4">
        <v>127.36</v>
      </c>
      <c r="O111">
        <v>187.06</v>
      </c>
      <c r="P111" s="5">
        <v>0.59493670886075944</v>
      </c>
    </row>
    <row r="112" spans="1:16" x14ac:dyDescent="0.25">
      <c r="A112" t="s">
        <v>330</v>
      </c>
      <c r="B112" s="3">
        <v>45746</v>
      </c>
      <c r="C112" t="s">
        <v>18</v>
      </c>
      <c r="D112" t="s">
        <v>87</v>
      </c>
      <c r="E112" t="s">
        <v>88</v>
      </c>
      <c r="F112" t="s">
        <v>21</v>
      </c>
      <c r="G112" t="s">
        <v>58</v>
      </c>
      <c r="H112" t="s">
        <v>73</v>
      </c>
      <c r="I112">
        <v>200</v>
      </c>
      <c r="J112">
        <v>1.02</v>
      </c>
      <c r="K112" s="4">
        <v>204</v>
      </c>
      <c r="L112" t="s">
        <v>25</v>
      </c>
      <c r="M112" s="4">
        <v>0.46</v>
      </c>
      <c r="N112" s="4">
        <v>92</v>
      </c>
      <c r="O112">
        <v>112</v>
      </c>
      <c r="P112" s="5">
        <v>0.5490196078431373</v>
      </c>
    </row>
    <row r="113" spans="1:16" x14ac:dyDescent="0.25">
      <c r="A113" t="s">
        <v>331</v>
      </c>
      <c r="B113" s="3">
        <v>45689</v>
      </c>
      <c r="C113" t="s">
        <v>28</v>
      </c>
      <c r="D113" t="s">
        <v>29</v>
      </c>
      <c r="E113" t="s">
        <v>30</v>
      </c>
      <c r="F113" t="s">
        <v>71</v>
      </c>
      <c r="G113" t="s">
        <v>72</v>
      </c>
      <c r="H113" t="s">
        <v>42</v>
      </c>
      <c r="I113">
        <v>139</v>
      </c>
      <c r="J113">
        <v>1.42</v>
      </c>
      <c r="K113" s="4">
        <v>197.38</v>
      </c>
      <c r="L113" t="s">
        <v>35</v>
      </c>
      <c r="M113" s="4">
        <v>0.61</v>
      </c>
      <c r="N113" s="4">
        <v>84.789999999999992</v>
      </c>
      <c r="O113">
        <v>112.59</v>
      </c>
      <c r="P113" s="5">
        <v>0.57042253521126762</v>
      </c>
    </row>
    <row r="114" spans="1:16" x14ac:dyDescent="0.25">
      <c r="A114" t="s">
        <v>333</v>
      </c>
      <c r="B114" s="3">
        <v>45693</v>
      </c>
      <c r="C114" t="s">
        <v>18</v>
      </c>
      <c r="D114" t="s">
        <v>87</v>
      </c>
      <c r="E114" t="s">
        <v>88</v>
      </c>
      <c r="F114" t="s">
        <v>71</v>
      </c>
      <c r="G114" t="s">
        <v>72</v>
      </c>
      <c r="H114" t="s">
        <v>23</v>
      </c>
      <c r="I114">
        <v>86</v>
      </c>
      <c r="J114">
        <v>1.51</v>
      </c>
      <c r="K114" s="4">
        <v>129.86000000000001</v>
      </c>
      <c r="L114" t="s">
        <v>25</v>
      </c>
      <c r="M114" s="4">
        <v>0.72</v>
      </c>
      <c r="N114" s="4">
        <v>61.919999999999995</v>
      </c>
      <c r="O114">
        <v>67.94</v>
      </c>
      <c r="P114" s="5">
        <v>0.52317880794701976</v>
      </c>
    </row>
    <row r="115" spans="1:16" x14ac:dyDescent="0.25">
      <c r="A115" t="s">
        <v>334</v>
      </c>
      <c r="B115" s="3">
        <v>45700</v>
      </c>
      <c r="C115" t="s">
        <v>38</v>
      </c>
      <c r="D115" t="s">
        <v>39</v>
      </c>
      <c r="E115" t="s">
        <v>40</v>
      </c>
      <c r="F115" t="s">
        <v>31</v>
      </c>
      <c r="G115" t="s">
        <v>32</v>
      </c>
      <c r="H115" t="s">
        <v>42</v>
      </c>
      <c r="I115">
        <v>171</v>
      </c>
      <c r="J115">
        <v>1.55</v>
      </c>
      <c r="K115" s="4">
        <v>265.05</v>
      </c>
      <c r="L115" t="s">
        <v>60</v>
      </c>
      <c r="M115" s="4">
        <v>1.07</v>
      </c>
      <c r="N115" s="4">
        <v>182.97</v>
      </c>
      <c r="O115">
        <v>82.08</v>
      </c>
      <c r="P115" s="5">
        <v>0.30967741935483867</v>
      </c>
    </row>
    <row r="116" spans="1:16" x14ac:dyDescent="0.25">
      <c r="A116" t="s">
        <v>336</v>
      </c>
      <c r="B116" s="3">
        <v>45664</v>
      </c>
      <c r="C116" t="s">
        <v>18</v>
      </c>
      <c r="D116" t="s">
        <v>87</v>
      </c>
      <c r="E116" t="s">
        <v>88</v>
      </c>
      <c r="F116" t="s">
        <v>71</v>
      </c>
      <c r="G116" t="s">
        <v>95</v>
      </c>
      <c r="H116" t="s">
        <v>23</v>
      </c>
      <c r="I116">
        <v>97</v>
      </c>
      <c r="J116">
        <v>1.44</v>
      </c>
      <c r="K116" s="4">
        <v>139.68</v>
      </c>
      <c r="L116" t="s">
        <v>25</v>
      </c>
      <c r="M116" s="4">
        <v>0.63</v>
      </c>
      <c r="N116" s="4">
        <v>61.11</v>
      </c>
      <c r="O116">
        <v>78.569999999999993</v>
      </c>
      <c r="P116" s="5">
        <v>0.56249999999999989</v>
      </c>
    </row>
    <row r="117" spans="1:16" x14ac:dyDescent="0.25">
      <c r="A117" t="s">
        <v>338</v>
      </c>
      <c r="B117" s="3">
        <v>45668</v>
      </c>
      <c r="C117" t="s">
        <v>18</v>
      </c>
      <c r="D117" t="s">
        <v>87</v>
      </c>
      <c r="E117" t="s">
        <v>88</v>
      </c>
      <c r="F117" t="s">
        <v>71</v>
      </c>
      <c r="G117" t="s">
        <v>95</v>
      </c>
      <c r="H117" t="s">
        <v>105</v>
      </c>
      <c r="I117">
        <v>147</v>
      </c>
      <c r="J117">
        <v>1.58</v>
      </c>
      <c r="K117" s="4">
        <v>232.26000000000002</v>
      </c>
      <c r="L117" t="s">
        <v>60</v>
      </c>
      <c r="M117" s="4">
        <v>0.98</v>
      </c>
      <c r="N117" s="4">
        <v>144.06</v>
      </c>
      <c r="O117">
        <v>88.2</v>
      </c>
      <c r="P117" s="5">
        <v>0.37974683544303794</v>
      </c>
    </row>
    <row r="118" spans="1:16" x14ac:dyDescent="0.25">
      <c r="A118" t="s">
        <v>341</v>
      </c>
      <c r="B118" s="3">
        <v>45722</v>
      </c>
      <c r="C118" t="s">
        <v>38</v>
      </c>
      <c r="D118" t="s">
        <v>39</v>
      </c>
      <c r="E118" t="s">
        <v>40</v>
      </c>
      <c r="F118" t="s">
        <v>31</v>
      </c>
      <c r="G118" t="s">
        <v>32</v>
      </c>
      <c r="H118" t="s">
        <v>80</v>
      </c>
      <c r="I118">
        <v>204</v>
      </c>
      <c r="J118">
        <v>0.99</v>
      </c>
      <c r="K118" s="4">
        <v>201.96</v>
      </c>
      <c r="L118" t="s">
        <v>35</v>
      </c>
      <c r="M118" s="4">
        <v>0.44</v>
      </c>
      <c r="N118" s="4">
        <v>89.76</v>
      </c>
      <c r="O118">
        <v>112.2</v>
      </c>
      <c r="P118" s="5">
        <v>0.55555555555555558</v>
      </c>
    </row>
    <row r="119" spans="1:16" x14ac:dyDescent="0.25">
      <c r="A119" t="s">
        <v>343</v>
      </c>
      <c r="B119" s="3">
        <v>45701</v>
      </c>
      <c r="C119" t="s">
        <v>18</v>
      </c>
      <c r="D119" t="s">
        <v>87</v>
      </c>
      <c r="E119" t="s">
        <v>88</v>
      </c>
      <c r="F119" t="s">
        <v>31</v>
      </c>
      <c r="G119" t="s">
        <v>32</v>
      </c>
      <c r="H119" t="s">
        <v>23</v>
      </c>
      <c r="I119">
        <v>235</v>
      </c>
      <c r="J119">
        <v>1.1599999999999999</v>
      </c>
      <c r="K119" s="4">
        <v>272.59999999999997</v>
      </c>
      <c r="L119" t="s">
        <v>25</v>
      </c>
      <c r="M119" s="4">
        <v>0.76</v>
      </c>
      <c r="N119" s="4">
        <v>178.6</v>
      </c>
      <c r="O119">
        <v>94</v>
      </c>
      <c r="P119" s="5">
        <v>0.34482758620689657</v>
      </c>
    </row>
    <row r="120" spans="1:16" x14ac:dyDescent="0.25">
      <c r="A120" t="s">
        <v>344</v>
      </c>
      <c r="B120" s="3">
        <v>45722</v>
      </c>
      <c r="C120" t="s">
        <v>18</v>
      </c>
      <c r="D120" t="s">
        <v>87</v>
      </c>
      <c r="E120" t="s">
        <v>88</v>
      </c>
      <c r="F120" t="s">
        <v>31</v>
      </c>
      <c r="G120" t="s">
        <v>41</v>
      </c>
      <c r="H120" t="s">
        <v>33</v>
      </c>
      <c r="I120">
        <v>122</v>
      </c>
      <c r="J120">
        <v>1.42</v>
      </c>
      <c r="K120" s="4">
        <v>173.23999999999998</v>
      </c>
      <c r="L120" t="s">
        <v>60</v>
      </c>
      <c r="M120" s="4">
        <v>0.91</v>
      </c>
      <c r="N120" s="4">
        <v>111.02000000000001</v>
      </c>
      <c r="O120">
        <v>62.22</v>
      </c>
      <c r="P120" s="5">
        <v>0.35915492957746481</v>
      </c>
    </row>
    <row r="121" spans="1:16" x14ac:dyDescent="0.25">
      <c r="A121" t="s">
        <v>346</v>
      </c>
      <c r="B121" s="3">
        <v>45662</v>
      </c>
      <c r="C121" t="s">
        <v>28</v>
      </c>
      <c r="D121" t="s">
        <v>46</v>
      </c>
      <c r="E121" t="s">
        <v>70</v>
      </c>
      <c r="F121" t="s">
        <v>71</v>
      </c>
      <c r="G121" t="s">
        <v>95</v>
      </c>
      <c r="H121" t="s">
        <v>49</v>
      </c>
      <c r="I121">
        <v>164</v>
      </c>
      <c r="J121">
        <v>1.55</v>
      </c>
      <c r="K121" s="4">
        <v>254.20000000000002</v>
      </c>
      <c r="L121" t="s">
        <v>25</v>
      </c>
      <c r="M121" s="4">
        <v>0.84</v>
      </c>
      <c r="N121" s="4">
        <v>137.76</v>
      </c>
      <c r="O121">
        <v>116.44</v>
      </c>
      <c r="P121" s="5">
        <v>0.45806451612903221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A81B-ED1D-4CF6-9DAD-3E19D3F385E2}">
  <dimension ref="A1:I33"/>
  <sheetViews>
    <sheetView topLeftCell="D7" zoomScaleNormal="100" workbookViewId="0">
      <selection activeCell="F24" sqref="F24:F27"/>
    </sheetView>
  </sheetViews>
  <sheetFormatPr defaultRowHeight="15" x14ac:dyDescent="0.25"/>
  <cols>
    <col min="1" max="1" width="12" bestFit="1" customWidth="1"/>
    <col min="2" max="2" width="11.625" bestFit="1" customWidth="1"/>
    <col min="3" max="3" width="19.5" bestFit="1" customWidth="1"/>
    <col min="4" max="4" width="16.25" bestFit="1" customWidth="1"/>
    <col min="5" max="6" width="19.5" bestFit="1" customWidth="1"/>
    <col min="7" max="7" width="5.5" customWidth="1"/>
    <col min="8" max="8" width="12" bestFit="1" customWidth="1"/>
    <col min="9" max="9" width="11.625" bestFit="1" customWidth="1"/>
    <col min="10" max="14" width="5.5" customWidth="1"/>
    <col min="15" max="21" width="4.875" bestFit="1" customWidth="1"/>
    <col min="22" max="116" width="5.75" bestFit="1" customWidth="1"/>
    <col min="117" max="117" width="9.875" bestFit="1" customWidth="1"/>
    <col min="118" max="121" width="8"/>
  </cols>
  <sheetData>
    <row r="1" spans="1:9" x14ac:dyDescent="0.25">
      <c r="A1" s="6" t="s">
        <v>390</v>
      </c>
      <c r="H1" s="6" t="s">
        <v>384</v>
      </c>
      <c r="I1" t="s">
        <v>387</v>
      </c>
    </row>
    <row r="2" spans="1:9" x14ac:dyDescent="0.25">
      <c r="A2" s="7" t="s">
        <v>386</v>
      </c>
      <c r="B2" s="21">
        <v>21395.789999999997</v>
      </c>
      <c r="C2" s="9"/>
      <c r="H2" s="7" t="s">
        <v>410</v>
      </c>
      <c r="I2" s="14">
        <v>3821.4500000000003</v>
      </c>
    </row>
    <row r="3" spans="1:9" x14ac:dyDescent="0.25">
      <c r="A3" s="10" t="s">
        <v>389</v>
      </c>
      <c r="B3" s="18">
        <v>0.44625422356373751</v>
      </c>
      <c r="C3" s="4"/>
      <c r="D3" s="6" t="s">
        <v>384</v>
      </c>
      <c r="E3" t="s">
        <v>386</v>
      </c>
      <c r="H3" s="7" t="s">
        <v>411</v>
      </c>
      <c r="I3" s="14">
        <v>2875.6999999999994</v>
      </c>
    </row>
    <row r="4" spans="1:9" x14ac:dyDescent="0.25">
      <c r="A4" s="7" t="s">
        <v>388</v>
      </c>
      <c r="B4" s="11">
        <v>17699</v>
      </c>
      <c r="C4" s="11"/>
      <c r="D4" s="7" t="s">
        <v>29</v>
      </c>
      <c r="E4" s="13">
        <v>2557.5000000000005</v>
      </c>
      <c r="H4" s="7" t="s">
        <v>412</v>
      </c>
      <c r="I4" s="14">
        <v>2872.15</v>
      </c>
    </row>
    <row r="5" spans="1:9" x14ac:dyDescent="0.25">
      <c r="A5" s="7" t="s">
        <v>387</v>
      </c>
      <c r="B5" s="21">
        <v>9569.2999999999993</v>
      </c>
      <c r="C5" s="9"/>
      <c r="D5" s="7" t="s">
        <v>19</v>
      </c>
      <c r="E5" s="13">
        <v>2776.6</v>
      </c>
      <c r="H5" s="7" t="s">
        <v>385</v>
      </c>
      <c r="I5" s="14">
        <v>9569.2999999999993</v>
      </c>
    </row>
    <row r="6" spans="1:9" x14ac:dyDescent="0.25">
      <c r="D6" s="7" t="s">
        <v>46</v>
      </c>
      <c r="E6" s="13">
        <v>3443.75</v>
      </c>
    </row>
    <row r="7" spans="1:9" x14ac:dyDescent="0.25">
      <c r="A7" s="6" t="s">
        <v>384</v>
      </c>
      <c r="B7" t="s">
        <v>386</v>
      </c>
      <c r="D7" s="7" t="s">
        <v>53</v>
      </c>
      <c r="E7" s="13">
        <v>3454.5899999999997</v>
      </c>
    </row>
    <row r="8" spans="1:9" x14ac:dyDescent="0.25">
      <c r="A8" s="7" t="s">
        <v>28</v>
      </c>
      <c r="B8" s="21">
        <v>6001.25</v>
      </c>
      <c r="C8" s="9"/>
      <c r="D8" s="7" t="s">
        <v>39</v>
      </c>
      <c r="E8" s="13">
        <v>3965.6000000000004</v>
      </c>
      <c r="H8" s="6" t="s">
        <v>384</v>
      </c>
      <c r="I8" t="s">
        <v>387</v>
      </c>
    </row>
    <row r="9" spans="1:9" x14ac:dyDescent="0.25">
      <c r="A9" s="7" t="s">
        <v>38</v>
      </c>
      <c r="B9" s="21">
        <v>7420.1899999999987</v>
      </c>
      <c r="C9" s="9"/>
      <c r="D9" s="7" t="s">
        <v>87</v>
      </c>
      <c r="E9" s="13">
        <v>5197.7500000000009</v>
      </c>
      <c r="H9" s="7" t="s">
        <v>35</v>
      </c>
      <c r="I9" s="14">
        <v>2493.4400000000005</v>
      </c>
    </row>
    <row r="10" spans="1:9" x14ac:dyDescent="0.25">
      <c r="A10" s="7" t="s">
        <v>18</v>
      </c>
      <c r="B10" s="21">
        <v>7974.3500000000013</v>
      </c>
      <c r="C10" s="9"/>
      <c r="D10" s="7" t="s">
        <v>385</v>
      </c>
      <c r="E10" s="13">
        <v>21395.79</v>
      </c>
      <c r="H10" s="7" t="s">
        <v>60</v>
      </c>
      <c r="I10" s="14">
        <v>3246.6499999999992</v>
      </c>
    </row>
    <row r="11" spans="1:9" x14ac:dyDescent="0.25">
      <c r="A11" s="7" t="s">
        <v>385</v>
      </c>
      <c r="B11" s="21">
        <v>21395.79</v>
      </c>
      <c r="C11" s="8"/>
      <c r="H11" s="7" t="s">
        <v>25</v>
      </c>
      <c r="I11" s="14">
        <v>3829.2099999999996</v>
      </c>
    </row>
    <row r="12" spans="1:9" x14ac:dyDescent="0.25">
      <c r="H12" s="7" t="s">
        <v>385</v>
      </c>
      <c r="I12" s="14">
        <v>9569.2999999999993</v>
      </c>
    </row>
    <row r="13" spans="1:9" x14ac:dyDescent="0.25">
      <c r="A13" s="6" t="s">
        <v>384</v>
      </c>
      <c r="B13" t="s">
        <v>386</v>
      </c>
    </row>
    <row r="14" spans="1:9" x14ac:dyDescent="0.25">
      <c r="A14" s="7" t="s">
        <v>29</v>
      </c>
      <c r="B14" s="21">
        <v>2557.5000000000005</v>
      </c>
      <c r="C14" s="4"/>
      <c r="D14" s="6" t="s">
        <v>384</v>
      </c>
      <c r="E14" t="s">
        <v>386</v>
      </c>
    </row>
    <row r="15" spans="1:9" x14ac:dyDescent="0.25">
      <c r="A15" s="7" t="s">
        <v>19</v>
      </c>
      <c r="B15" s="21">
        <v>2776.6</v>
      </c>
      <c r="C15" s="4"/>
      <c r="D15" s="7" t="s">
        <v>48</v>
      </c>
      <c r="E15" s="21">
        <v>1928.6599999999999</v>
      </c>
    </row>
    <row r="16" spans="1:9" x14ac:dyDescent="0.25">
      <c r="A16" s="7" t="s">
        <v>46</v>
      </c>
      <c r="B16" s="21">
        <v>3443.75</v>
      </c>
      <c r="C16" s="4"/>
      <c r="D16" s="7" t="s">
        <v>58</v>
      </c>
      <c r="E16" s="21">
        <v>2553.3399999999997</v>
      </c>
    </row>
    <row r="17" spans="1:6" x14ac:dyDescent="0.25">
      <c r="A17" s="7" t="s">
        <v>53</v>
      </c>
      <c r="B17" s="21">
        <v>3454.5899999999997</v>
      </c>
      <c r="C17" s="4"/>
      <c r="D17" s="7" t="s">
        <v>95</v>
      </c>
      <c r="E17" s="21">
        <v>3116.95</v>
      </c>
    </row>
    <row r="18" spans="1:6" x14ac:dyDescent="0.25">
      <c r="A18" s="7" t="s">
        <v>39</v>
      </c>
      <c r="B18" s="21">
        <v>3965.6000000000004</v>
      </c>
      <c r="C18" s="4"/>
      <c r="D18" s="7" t="s">
        <v>32</v>
      </c>
      <c r="E18" s="21">
        <v>4103.6200000000008</v>
      </c>
    </row>
    <row r="19" spans="1:6" x14ac:dyDescent="0.25">
      <c r="A19" s="7" t="s">
        <v>87</v>
      </c>
      <c r="B19" s="21">
        <v>5197.7500000000009</v>
      </c>
      <c r="C19" s="4"/>
      <c r="D19" s="7" t="s">
        <v>22</v>
      </c>
      <c r="E19" s="21">
        <v>4218.2500000000009</v>
      </c>
    </row>
    <row r="20" spans="1:6" x14ac:dyDescent="0.25">
      <c r="A20" s="7" t="s">
        <v>385</v>
      </c>
      <c r="B20" s="21">
        <v>21395.79</v>
      </c>
      <c r="C20" s="8"/>
      <c r="D20" s="7" t="s">
        <v>385</v>
      </c>
      <c r="E20" s="21">
        <v>15920.820000000002</v>
      </c>
    </row>
    <row r="23" spans="1:6" x14ac:dyDescent="0.25">
      <c r="A23" s="6" t="s">
        <v>384</v>
      </c>
      <c r="B23" t="s">
        <v>387</v>
      </c>
      <c r="C23" t="s">
        <v>386</v>
      </c>
      <c r="E23" s="6" t="s">
        <v>384</v>
      </c>
      <c r="F23" t="s">
        <v>386</v>
      </c>
    </row>
    <row r="24" spans="1:6" x14ac:dyDescent="0.25">
      <c r="A24" s="7" t="s">
        <v>31</v>
      </c>
      <c r="B24" s="13">
        <v>3370.3799999999992</v>
      </c>
      <c r="C24" s="21">
        <v>7851.5699999999988</v>
      </c>
      <c r="E24" s="7" t="s">
        <v>35</v>
      </c>
      <c r="F24" s="21">
        <v>5484.06</v>
      </c>
    </row>
    <row r="25" spans="1:6" x14ac:dyDescent="0.25">
      <c r="A25" s="7" t="s">
        <v>21</v>
      </c>
      <c r="B25" s="13">
        <v>3942.6900000000005</v>
      </c>
      <c r="C25" s="21">
        <v>8590.1699999999983</v>
      </c>
      <c r="E25" s="7" t="s">
        <v>60</v>
      </c>
      <c r="F25" s="21">
        <v>7298.45</v>
      </c>
    </row>
    <row r="26" spans="1:6" x14ac:dyDescent="0.25">
      <c r="A26" s="7" t="s">
        <v>71</v>
      </c>
      <c r="B26" s="13">
        <v>2256.23</v>
      </c>
      <c r="C26" s="21">
        <v>4954.0499999999993</v>
      </c>
      <c r="E26" s="7" t="s">
        <v>25</v>
      </c>
      <c r="F26" s="21">
        <v>8613.2799999999988</v>
      </c>
    </row>
    <row r="27" spans="1:6" x14ac:dyDescent="0.25">
      <c r="A27" s="7" t="s">
        <v>385</v>
      </c>
      <c r="B27" s="13">
        <v>9569.2999999999993</v>
      </c>
      <c r="C27" s="21">
        <v>21395.789999999997</v>
      </c>
      <c r="E27" s="7" t="s">
        <v>385</v>
      </c>
      <c r="F27" s="21">
        <v>21395.79</v>
      </c>
    </row>
    <row r="29" spans="1:6" x14ac:dyDescent="0.25">
      <c r="A29" s="7" t="s">
        <v>35</v>
      </c>
      <c r="B29" s="8">
        <v>5097.5900000000011</v>
      </c>
    </row>
    <row r="30" spans="1:6" x14ac:dyDescent="0.25">
      <c r="A30" s="7" t="s">
        <v>158</v>
      </c>
      <c r="B30" s="8">
        <v>386.47</v>
      </c>
    </row>
    <row r="31" spans="1:6" x14ac:dyDescent="0.25">
      <c r="A31" s="7" t="s">
        <v>60</v>
      </c>
      <c r="B31" s="8">
        <v>7298.45</v>
      </c>
    </row>
    <row r="32" spans="1:6" x14ac:dyDescent="0.25">
      <c r="A32" s="7" t="s">
        <v>25</v>
      </c>
      <c r="B32" s="8">
        <v>7722.91</v>
      </c>
    </row>
    <row r="33" spans="1:2" x14ac:dyDescent="0.25">
      <c r="A33" s="7" t="s">
        <v>107</v>
      </c>
      <c r="B33" s="8">
        <v>890.36999999999989</v>
      </c>
    </row>
  </sheetData>
  <pageMargins left="0.7" right="0.7" top="0.75" bottom="0.75" header="0.3" footer="0.3"/>
  <pageSetup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6CEE-EA30-4D81-8EA1-0434EEEDC789}">
  <dimension ref="A1:P27"/>
  <sheetViews>
    <sheetView showGridLines="0" workbookViewId="0">
      <selection activeCell="Q16" sqref="Q16"/>
    </sheetView>
  </sheetViews>
  <sheetFormatPr defaultRowHeight="15" x14ac:dyDescent="0.25"/>
  <cols>
    <col min="11" max="11" width="6" customWidth="1"/>
  </cols>
  <sheetData>
    <row r="1" spans="1:16" x14ac:dyDescent="0.25">
      <c r="A1" s="19" t="s">
        <v>413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pans="1:16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1:16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</sheetData>
  <mergeCells count="1">
    <mergeCell ref="A1:P2"/>
  </mergeCells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4183-79A8-4C63-BDBD-674BEFC23861}">
  <dimension ref="A1:N29"/>
  <sheetViews>
    <sheetView showGridLines="0" tabSelected="1" zoomScaleNormal="100" workbookViewId="0">
      <selection activeCell="P23" sqref="P23"/>
    </sheetView>
  </sheetViews>
  <sheetFormatPr defaultRowHeight="15" x14ac:dyDescent="0.25"/>
  <cols>
    <col min="1" max="16384" width="9" style="17"/>
  </cols>
  <sheetData>
    <row r="1" spans="1:14" customForma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customForma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customForma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customForma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customForma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customForma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customFormat="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customForma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customForma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 spans="1:14" customForma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customForma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pans="1:14" customForma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pans="1:14" customForma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4" customForma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1:14" customForma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1:14" customForma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customForma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customForma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customForma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customForma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spans="1:14" customForma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1:14" customForma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1:14" customForma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customForma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customForma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customForma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customForma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customForma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customForma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</sheetData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CocaCola_Raw_Sales_Data</vt:lpstr>
      <vt:lpstr>INSTRUCTIONS</vt:lpstr>
      <vt:lpstr>CocaCola_Clean_Sales_Data (2)</vt:lpstr>
      <vt:lpstr>PIVOTTABLE</vt:lpstr>
      <vt:lpstr>DASHBOARD-copy</vt:lpstr>
      <vt:lpstr>DASHBOARD</vt:lpstr>
      <vt:lpstr>cola</vt:lpstr>
      <vt:lpstr>pmargin</vt:lpstr>
      <vt:lpstr>profit</vt:lpstr>
      <vt:lpstr>revenue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pauline omondi</cp:lastModifiedBy>
  <dcterms:created xsi:type="dcterms:W3CDTF">2026-04-05T20:14:10Z</dcterms:created>
  <dcterms:modified xsi:type="dcterms:W3CDTF">2026-04-15T20:03:10Z</dcterms:modified>
</cp:coreProperties>
</file>